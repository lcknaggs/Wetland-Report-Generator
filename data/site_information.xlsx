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C:\Users\C837977918\Desktop\R\2026_ESS_523A_Data_Science\Github_repositories\Wetland-Report-Generator\data\"/>
    </mc:Choice>
  </mc:AlternateContent>
  <xr:revisionPtr revIDLastSave="0" documentId="13_ncr:1_{1E73E945-AFB9-45A4-A1C1-6FD72FF19534}" xr6:coauthVersionLast="47" xr6:coauthVersionMax="47" xr10:uidLastSave="{00000000-0000-0000-0000-000000000000}"/>
  <bookViews>
    <workbookView xWindow="-120" yWindow="-120" windowWidth="29040" windowHeight="17520" xr2:uid="{8DDF4369-EBB0-4B5F-A5DE-7099AB944D0A}"/>
  </bookViews>
  <sheets>
    <sheet name="site_info" sheetId="1" r:id="rId1"/>
  </sheets>
  <definedNames>
    <definedName name="_xlnm._FilterDatabase" localSheetId="0" hidden="1">site_info!$A$1:$J$43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43" i="1" l="1"/>
</calcChain>
</file>

<file path=xl/sharedStrings.xml><?xml version="1.0" encoding="utf-8"?>
<sst xmlns="http://schemas.openxmlformats.org/spreadsheetml/2006/main" count="256" uniqueCount="126">
  <si>
    <t>visit_date</t>
  </si>
  <si>
    <t>G531 Arid West Interior Freshwater Marsh &amp; Wet Meadow</t>
  </si>
  <si>
    <t>G526 Rocky Mountain-Great Basin Lowland-Foothill Riparian Shrubland</t>
  </si>
  <si>
    <t>G1214 Southern Great Plains Wet Meadow &amp; Marsh</t>
  </si>
  <si>
    <t>G147 Great Plains Cottonwood - Willow Floodplain Forest</t>
  </si>
  <si>
    <t>G521 Pacific-Rocky Mountain Montane Wet Meadow &amp; Marsh</t>
  </si>
  <si>
    <t>G524 Western Ruderal Marsh, Wet Meadow &amp; Shrubland</t>
  </si>
  <si>
    <t>G538 Desert Alkaline-Saline Marsh &amp; Playa</t>
  </si>
  <si>
    <t>G1213 Northern Great Plains Wet Meadow, Marsh &amp; Shrub Swamp</t>
  </si>
  <si>
    <t>G325 Great Plains Freshwater Marsh</t>
  </si>
  <si>
    <t>G984 Great Plains Saline Wet Meadow &amp; Marsh</t>
  </si>
  <si>
    <t>TIA_ID</t>
  </si>
  <si>
    <t>site_name</t>
  </si>
  <si>
    <t>slope</t>
  </si>
  <si>
    <t>aspect</t>
  </si>
  <si>
    <t>cowardin</t>
  </si>
  <si>
    <t>nvc</t>
  </si>
  <si>
    <t>description</t>
  </si>
  <si>
    <t>PFOCb</t>
  </si>
  <si>
    <t>PEME</t>
  </si>
  <si>
    <t>PSSA</t>
  </si>
  <si>
    <t>PEMF</t>
  </si>
  <si>
    <t>PEMB</t>
  </si>
  <si>
    <t>PEMCh</t>
  </si>
  <si>
    <t>PFOA</t>
  </si>
  <si>
    <t>PEMA</t>
  </si>
  <si>
    <t>PEMD</t>
  </si>
  <si>
    <t>PSSC</t>
  </si>
  <si>
    <t>PEMFx</t>
  </si>
  <si>
    <t>PFOC</t>
  </si>
  <si>
    <t>PSSCh</t>
  </si>
  <si>
    <t>PEMFb</t>
  </si>
  <si>
    <t>PEMEb</t>
  </si>
  <si>
    <t>PEMEd</t>
  </si>
  <si>
    <t>PEMC</t>
  </si>
  <si>
    <t>RpSS</t>
  </si>
  <si>
    <t>SNHS</t>
  </si>
  <si>
    <t>FRVW</t>
  </si>
  <si>
    <t xml:space="preserve"> Howard Creek Tributary</t>
  </si>
  <si>
    <t xml:space="preserve"> Black Squirrel Creek</t>
  </si>
  <si>
    <t xml:space="preserve"> Beaver Creek Floodplain</t>
  </si>
  <si>
    <t xml:space="preserve"> Brannigan Springs</t>
  </si>
  <si>
    <t xml:space="preserve"> Spring Gulch</t>
  </si>
  <si>
    <t xml:space="preserve"> Box Elder Wetland Complex</t>
  </si>
  <si>
    <t xml:space="preserve"> Big Dry Creek</t>
  </si>
  <si>
    <t xml:space="preserve"> Coal Creek</t>
  </si>
  <si>
    <t xml:space="preserve"> South Boulder Creek</t>
  </si>
  <si>
    <t xml:space="preserve"> Wheat ridge </t>
  </si>
  <si>
    <t xml:space="preserve"> Cottonwood Creek</t>
  </si>
  <si>
    <t xml:space="preserve"> Cottonwood Bend</t>
  </si>
  <si>
    <t xml:space="preserve"> Box elder creek</t>
  </si>
  <si>
    <t xml:space="preserve"> Cook Creek Beaver Wetland</t>
  </si>
  <si>
    <t xml:space="preserve"> West Cherry Creek</t>
  </si>
  <si>
    <t xml:space="preserve"> Huerfano Ranch S Floodplain Meadow</t>
  </si>
  <si>
    <t xml:space="preserve"> Magpie Natural Area</t>
  </si>
  <si>
    <t xml:space="preserve"> Arkansas Floodplain Beaver Meadow</t>
  </si>
  <si>
    <t xml:space="preserve"> Runyon Lake and Trail Wetland </t>
  </si>
  <si>
    <t xml:space="preserve"> Minnequa Reservior </t>
  </si>
  <si>
    <t xml:space="preserve"> Arkansas and Fountain Creek Confluence</t>
  </si>
  <si>
    <t xml:space="preserve"> Fountain Creek Nature Center </t>
  </si>
  <si>
    <t xml:space="preserve"> Jimmy Camp Creek</t>
  </si>
  <si>
    <t xml:space="preserve"> Arkansas River Hobson</t>
  </si>
  <si>
    <t xml:space="preserve"> Niver Creek Wetland</t>
  </si>
  <si>
    <t xml:space="preserve"> Marjorie Perry</t>
  </si>
  <si>
    <t xml:space="preserve"> Black Forest Shoup Road</t>
  </si>
  <si>
    <t xml:space="preserve"> John Griffin Park</t>
  </si>
  <si>
    <t xml:space="preserve"> Smith Creek</t>
  </si>
  <si>
    <t xml:space="preserve"> Trout Creek Spring</t>
  </si>
  <si>
    <t xml:space="preserve"> SPUR Campus Constructed wetland</t>
  </si>
  <si>
    <t xml:space="preserve"> Globeville Park </t>
  </si>
  <si>
    <t xml:space="preserve"> Louisville Coal Creek</t>
  </si>
  <si>
    <t xml:space="preserve"> Pineries Wet Meadows</t>
  </si>
  <si>
    <t xml:space="preserve"> Hay Gulch</t>
  </si>
  <si>
    <t xml:space="preserve"> Graves Creek Springs</t>
  </si>
  <si>
    <t xml:space="preserve"> Little Willow Creek</t>
  </si>
  <si>
    <t xml:space="preserve"> Littleton Ditch Seep </t>
  </si>
  <si>
    <t xml:space="preserve"> Castlewood Valley Beaver Complex</t>
  </si>
  <si>
    <t>project</t>
  </si>
  <si>
    <t>This site is a chain of long and narrow ponds following a shallow drainage in the Pawnee National Grasslands. The hydrology appears to be entirely fed by groundwater with no surface connectivity. The string of ponds ranges in size measuring on average 7 meters wide and 100 meters long separated by gaps over 100 meters long.  The plant community persists along the pond margins in concentric circles with open water in the center, Heteranthera limosa in the deepest water, followed by Eleocharis palustris, then Eleocharis acicularis, and finally Echinochloa crus-galli dominating the mesic pond margins. No soil pit was dug due to restrictions by U.S. Forest Service regulations however the surface soil was composed of silty clay.</t>
  </si>
  <si>
    <t xml:space="preserve">The site is a groundwater fed Spartina pectinata wet meadow within a larger wetland complex. The hydrology is influenced by a series of springs along a slope break flooding from the east to the west. The large surrounding wetland is a Sporobolus airoides/Sarcobatus vermiculatus wet shrubland with wetter patches of Tyhpha latifolia/Schoenoplectus actus marsh around the spring heads and drier patches throughout with salt crusts on the soil. Spartina pectinata dominates the wettest portions of the wet meadow with Helianthus annuus and Cirsium arvense along the drier margins. The soil is composed of silty clay and clay, saturated starting at -18 cm, with no hydric  indicators observed. 
</t>
  </si>
  <si>
    <t xml:space="preserve">This site is a Typha latifolia marsh in the northern part of the site where groundwater has made it semipermanently saturated. This area is dominated by Typha latifolia with a sparse herbaceous understory. Along the small channels flowing back to Beaver Creek, Carex hystericina and Juncus interior are abundant. Around the margin of the marsh and to the south where the wetland is closer to the stream it transitions into a Salix exigua shrubland with an understory dominated by Phalaris arundinacea and Carex spp. The banks of the main channel of Beaver Creek are dominated by Phalaris arundinacea, Carex pellita, and young shoots of Salix exigua. 
The marsh area of the site had several cm of surface water in most places and channels forming within the Typha flowing toward Beaver Creek. Surrounding the creek and groundwater fed marsh area the site is seasonally flooded. The soil pit was composed of 25cm mucky mineral over silty clay loam. The hydric indicators observed at time of sampling were A4 hydrogen sulfide odor, F1 loamy mucky mineral, and the soil pit filled with groundwater to the surface. </t>
  </si>
  <si>
    <t xml:space="preserve">This site is a wet meadow complex forming a mosiac of wet meadow and fens species. The hydrology is fed by several seeps along the northern slope break draining southeast, the slope gradient decreasing toward the south. At the northern end of the site at the time of sampling, the soil was saturated to the surface and contained over 40 cm of organic soil. This area is dominated by Carex utriculata with small patches of Triglochin maritima. The southern drier sections are dominated by Carex nebrascensis and Juncus arcticus. The soil pit was dug near a seep and contained 40 cm of organic soil with a hydric soil indicator of A1 Histosol. The top 10 cm fibric and next 30 cm hemic with groundwater filling the pit. </t>
  </si>
  <si>
    <t xml:space="preserve">This site is a saline meadow located in a narrow ephemeral drainage surrounded by rolling hills and flowing west to east into West Bijou Creek. The meadow is fed by groundwater from a series of seeps with only small pools of surface water surrounded by bare soil during field sampling in late August. The vegetation community is dominated by Distchilis spicata and Sporobolus airoides with large dry open patches in the creek with dry and cracking soil. The soil pit dug at the time of sampling was composed of silty clay dry and cracking on the surface but saturated below -12 cm. There were no hydric soil indicators observed. </t>
  </si>
  <si>
    <t xml:space="preserve">This site is a wet meadow located along Box Elder Creek draining toward the northwest where it transitions into a Typha latifolia marsh. The hydrology along the creek appears to be fed by groundwater seeps with no creek channel observed. The irrigation ditch east of the wetland flows seasonally from Horse Creek Reservoir and contributes water via seepage flow into the wetland.  The leasee informed us this ditch runs until mid June then remains dry. The wet meadow vegetation community was composed of distinct zones defined by the sites water gradients. Each zone showed signs of persistent cattle grazing and  was dominated by either increaser or ruderal species. Typha latifolia is dominant in the wettest areas around seeps with signs of seasonal ponding. Carex nebrascensis dominated in slightly less wet areas following the drainage bottom. Juncus arcticus and Schoenoplectus pungens dominated the mesic zones which were the common patch type. Cirsium arvense and Juncus arcticus dominate the wetland transitional zones. The soil is composed of 30 cm mucky mineral over 10 cm sandy clay loam saturated to the surface with a F1 loamy mucky mineral hydric soil indicator observed at the time of sampling. </t>
  </si>
  <si>
    <t xml:space="preserve">This site is a riparian shrubland along a highly sinuous stream. The site was located in a historic floodplain but this floodplain apprears highly disturbed. The stream flows north and the channel is disconnected from the floodplain with severe bank erosion throughout the site. Salix exigua dominates the banks of the main stream channel along with patches of Phalaris arundinacea, Schoenoplectus pungens, and Alopercurus arundinaceus. Areas of severe bank erosion are invaded by patches of Carduus nutans, Dipsacus fullonum, and Lepidium sp. The soil pit was dug in a small side channel dominated by Eleocharis palustris. The soil pit had 40 cm of clay soil with redoxomorphic features observed throughout. </t>
  </si>
  <si>
    <t>This site is a Great Plains wet meadow along Coal Creek fed by ground water saturated at or near the surface throughout. The site appeares to be transitioning from a Great Plains wet meadow to a Great Plains riparian shrubland with larger patches dominated by Salix exigua. The northern portion of the site is the driest with disturbed soil and dominated by ruderal species. The central portion of the wetland has a large patch of young Populus deltoides/Salix exigua riparian forest with a Schoenoplectus pungens understory. South of this area is a large zone dominated by Asclepias incarnata. The remainder of the wetland is dominated by Schoenoplectus pungens in drier patches and Salix exigua and Carex spp. in wetter patches. The soil pit contained 6 cm of organic soil over a loamy sandy matrix with a hydric soil indicator of S4 sandy gleyed matrix and filled to -27 cm with ground water.</t>
  </si>
  <si>
    <t>This site is a wet meadow draining northeast toward Baseline Reservior. The system appears to be fed by groundwater and irrigation ditches pulling from South Boulder Creek. There are numerous channels disecting the site including two small, meter-wide channels draining northeast into the meadow, a dry irrigation ditch three meters wide in the northern section of the meadow, and an irrigation ditch three meters wide draining along the eastern margin of the site into the reservoir. The plant community is composed of numerous patch types. The site is mostly composed of a large wet meadow dominated by Spartina pectinata, Juncus arcticus, and Sorghastrum nutans that surrounds other patch types. The riparian shrubland patches along the irrigation ditches are dominated by Salix exigua. Small marsh patches fed by seeps are dominated by Typha angustifolia. Patches with soil disturbance are dominated by invasive species such as Dipsacus fullonum. The soil pit dug at the time of sampling was composed of 17cm silty clay loam, 3 cm clay loam with 40 percent cobble (2-3 cm), and then 20 cm clay loam. The soil pit was saturated throughout with no hydric soil indicator observed.</t>
  </si>
  <si>
    <t xml:space="preserve">This site is a Great Plains freshwater marsh located in the Clear Creek floodplain on the south side of the river along two ponds. The wetland hydrology was fed primarily by ground water and appears semipermanently flooded. The dominant plant community was Typha latifolia and T. angustifolia collectively composing 50 percent of the wetland plant cover. In the drier margins there are patches of wet meadows dominated by Carex pellita and C. emoryii as well as wet shrubland patches of Salix exigua. The soil is composed of silt clay over clay and filled to the surface with ground water. No hydric soil indicator was observed.  </t>
  </si>
  <si>
    <t>This site is a wet meadow in the floodplain of Cottonwood Creek flowing northward. The hydrology is fed by overbank flooding and a series of man made impoundments controlling the flow of water into Cherry Creek reservoir. The system is dominated by Spartina pectinata growing consistently along the stream banks with Salix exigua growing in patches. The areas with deeper water around the impoundments are dominated by invasions of Typha angustifolia and Phragmites australis. The soil pit dug at the time of sampling was composed entirely of clay with dark redoxomorphic features observed below -21 cm in the soil pit. There were no hydric soil indicators observed.</t>
  </si>
  <si>
    <t xml:space="preserve">This site is a Cottonwood floodplain forest along the Poudre River with mature Populus deltoides over 20 meters covering about 50% of the site. Large down woody debris is common and regeneration is very low to nonexistent. Other canopy species include Acer negundo and Ulmus pumila. The understory is mostly herbaceous and dominated by introduced gammanoids including Bromus inermis, Phalaris arundinacea, and Elymus repens. The margins of the river and one small backwater area were much wetter and supported a community of Schoenoplectus pungens, Cyperus sp, Sagitaria sp, and Polypogon monspeliensis. </t>
  </si>
  <si>
    <t xml:space="preserve">This site is a Great Plains fresh water marsh located in an old disconnected oxbow of Box Elder Creek. The wetland flows from south to north and is fed primarily by groundwater with water at or near the surface throughout the year and potential ephermal surface flow from Box Elder Creek. The marsh is dominated by Typha latifolia and Schoenoplectus tabernaemontani with Sparganium eurycarpium dominating in open patches and Populus deltoides and Salix fragilis growing on the eastern bank of the oxbox. The soil is composed of a silty clay mucky mineral matrix with an A4 hydric indicator of hydrogen sulfide smell. The soil pit was saturated throughout and filled to the surface with groundwater in less than an hour.
 </t>
  </si>
  <si>
    <t>This site is a riparian shrubland dominated by Salix exigua. The hydrology is driven by overbank flooding and beaver dams that pool in a series of ponds and drain north. The beaver ponds create a mosaic of riparian shrubland, marsh, and wet meadow with Salix exigua riparian shrubland being the most prevalent. The wettest marsh zones have water over 30 cm deep and are dominated by small patches of Typha latifolia. The wet meadow zones with water around 10 cm deep are dominated by Carex nebrascensis. Cirsium arvensis, Bromus inermis, and other ruderal species domainte in the upland transition zones. The soil pit dug at the time of sampling was composed of 17 cm of mucky mineral over 13 cm of loamy sand, over silty clay loam. The water filled the soil pit to -17 cm and a hydric soil indicator of F1 Loamy mucky mineral was observed.</t>
  </si>
  <si>
    <t xml:space="preserve">This site is a sedge meadow in the floodplain of West Cherry Creek flowing northeast. The system is fed by overbank flooding and hyporheic flow from West Cherry Creek. There was saturation and surface water in small patches during the September field visit. The vegetation community is characteristic of a sedge meadow with numerous small patch types throughout. The sedge meadow persists throughout the site and is dominated by Carex nebrascensis and Carex emoryi. The northern portion of the wetland is dominated by an invasion of Salix fragilis with a Carex emoryi understory. The creek channel contains patches of Schoenoplectus tabernaemontani and Typha latifolia with Typha latifolia completely dominating in some northern patches of creek. The creek margins contains patches of Carex utriculata, Glyceria grandis, and Persicaria spp. The transitional zone is dominated by Juncus arcticus and numerous ruderal species in small patches. The soil pit was dug in the floodplain a few meters from the creek. It was composed of sandy loam over clay loam, over sandy clay loam and saturated throughout the pit. There were no hydric soil indicators observed at the time of sampling. </t>
  </si>
  <si>
    <t>This site is a wet meadow located in the Herfano River floodplain fed by groundwater and overbank flooding. Seeps at the slope break along the southern edge of the plot create a gradient of wet to dry habitat from the south to the north. The wetland is dominated by Carex pellita and Eleocharis palustris with patchiness following the south to north soil saturation gradient. The southern regions along the seeps are dominated by Schoenoplectus acutus and S. pungens and the drier northern margin are dominated by Distichlis spicata. The soil pit was dug near the seeps along the slope break and was composed of silt clay with high percentages of gley and iron redoxomorphic features. A hydric soil indicator of A11 depleted below dark surface was observed along with ground water at -32 cm.</t>
  </si>
  <si>
    <t>This site is a meandering riparian woodland flowing to the southeast following an old oxbow channel in the Poudre River floodplain. The riparian woodland is dominated by Populus deltoides and Salix amygdaloides. The seasonally flooded stream banks are dominated by Alopecurus arundinaceus and various Carex species. The stream channel is dominated by Lemna minor with small dense patches of Typha spp. and Schoenoplectus spp. The soil pit was dug along the stream bank to a depth of 40 cm. The top 16 cm of the soil pit was organic and mineral soil below.</t>
  </si>
  <si>
    <t xml:space="preserve">The site is a beaver influenced marsh and wet meadow complex in the floodplain of the Arkansas River. The beaver ponds appear to seasonally flood and saturate the surrounding wetland areas. The wetland is disconnected from the Arkansas River 200 meters to the south by a large berm with a paved trail built on it.  The areas surrounding the beaver ponds were the wettest sections of wetland and dominated by Typha latifolia. The drier areas at the eastern and western margins of the wetland were wet meadows dominated by Carex pellita.  There appears to be a new trail mowed east to west through the Carex pellita community. The soil was saturated to the surface and a hydric indicator of A11, depleted below dark surface, was observed. </t>
  </si>
  <si>
    <t xml:space="preserve">This wetland is a lacustrine fringe wet meadow along an urban recreational pond that drains south into the Arkansas River.  The hydrology was fed by overbank flooding from the pond. The wet meadow was dominated by Carex emoryii with patches of Ulmus pumilla and Salix exigua. The soil was composed of silty clay loam and saturated to the surface but no groundwater or hydric soil indicators were observed. </t>
  </si>
  <si>
    <t xml:space="preserve">This wetland is a Great Plains freshwater marsh primarily fed by surface flow from the Minnequa Reservoir. Low reservoir water levels appear to have caused severe drying and patches of salt crust. Wildfires have left charcoal on the soil surface and resulted in disturbed plant communities. Severe Phragmites australis invasion represens 60 percent of the foliar cover, while only small patches of the historic community dominated by Schoenoplecturs acutus and S. tabernaemontani are present. The drier wetland margins were dominated by Distichlis spicata. Soil was composed primarily of sandy clay with a hydric soil indicator of A11 depleted below dark surface observed.  
</t>
  </si>
  <si>
    <t xml:space="preserve">This site is a riparian wetland area along the confluence of Fountain Creek and the Arkansas River flowing southeast. The eastern bank of Fountain Creek is a Phragmites australis stand with a few sandbar species near the water. At the point of the confluence is a Populus deltoides forest. Moving west along the Arkansas there is more Phragmites australis that abruptly changes to a Salix exigua riparian shrubland. The understory of the shrubland is dominated by Carex pellita and Carex emoryi. Hydrology is impacted on both riverine features. The Arkansas is dammed at Lake Pueblo Reservoir about 10km west of the site likely significantly impacting the natural hydroperiod. Fountain creek experiences widely varying flow rates due to inflow from anthropogenic sources related to developments in Colorado Springs. The soil was composed of silty clay loam over a layer of large stones greater then 4 cm wide. There was ground water in the soil pit at -38 cm and no hydric soil indicators observed. </t>
  </si>
  <si>
    <t xml:space="preserve">This site is a marsh wetland complex with two connected ponds in the floodplain of Fountain Creek. The system is fed by an alluvial aquifer and is semipermanently flooded with surface water observed in July draining to the south towards Fountain Creek. The site is dominated by Typha spp. with patches of Salix exigua and Carex spp. on the margins. The soil pit filled with ground water to -32 cm and is composed of silty clay over sandy loam with a hydric soil indicator of A4 hydrogen sulfide observed. </t>
  </si>
  <si>
    <t xml:space="preserve">The site is a riparian shrubland flowing southwest into nearby Fountain Creek. The floodplain is severely disconnected with an incised creek channel and  bank erosion measured between 1 to 2 meters throughout the site. Salix exigua and Bromus inermis co-dominat the creek banks with invasions of mesic ruderale species observed on the drying river banks. The soil pit was dug in a dry side channel and filled with groundwater, the soil is composed of silty clay with a hydric indicator of F3 a depeleted matrix.
</t>
  </si>
  <si>
    <t xml:space="preserve">This site is a Great Plains Populus deltoides/Salix exigua riparian woodland in the Arkansas River floodplain. The hydrology is fed by overbank flooding and ephemeral washes. The wetland is a washy braided system dominated by Populus deltoides throughout and with zones of riparian shrubs along wetter channels, disturbance annual species in the washes, and drier herbaceous species in the upland zones in between. The soil pit was composed of loamy sand with no hydric indicator observed. </t>
  </si>
  <si>
    <t xml:space="preserve">This site is a Salix amygdaloides riparian woodland flowing to the southeast. There is severe bank erosion throughout the site with head cuts on the eastern side of the channel up to five meters tall. The floodplain appeared constricted by land raised for I-25 to the east. Evidence of beaver activity was observed on Populus deltoides throughout the site but none appeared to be recent. The overstory is dominated by Salix amygdaloides and Salix exigua with an understory dominanted by Alopecurus arundinaceus and Phalaris arundinacea. In the southern portion of the site the floodplain is less constricted, expanding from about 20 meters to 50 meters in width. This area was dominated by Populus deltoides snags with large areas of Typha spp. A soil pit was dug to 45 cm with a predominant matrix of silty clay loam. There was a hydrogen sulfide smell, red oxidized iron, and depleted gleyed features throughout horizons. </t>
  </si>
  <si>
    <t xml:space="preserve">This wetland is a Great Plains freshwater marsh fed by groundwater and overland flow via curlverts from Highline Canal and Greenwood Gulch. The water flows from the southeast to the northwest through the center of the wetland into a series of ponds. The area in the center of the wetland has ground water near the surface in mid July at the time of surveying. The wettest portion of the wetland is dominated by Typha latifolia with a long narrow drier margin on the southern side of the marsh dominated by Schoenoplectus pugens. A soil pit was dug in the Typha latifolia marsh community with 27 cm of organic hemic (mucky peat) present giving it an A2 Histic epipedon hydric soil indicator. </t>
  </si>
  <si>
    <t xml:space="preserve">The site is a Great Plains mesic meadow dominated by Carex pellita and Pascopyrum smithii located in the Black Forest. The system is ground water fed with the substrate seasonally saturated for a brief period early in the growing season. The soil pit was composed entirely of clay with 3 percent redox and a hydric soil indicator of F6 redox dark surface. </t>
  </si>
  <si>
    <t>This site is an urban storm water fed Typha spp. marsh with beaver activity.  The hydrology is supported by streamflow and local storm water culverts from the surrounding neighborhood to the south and industrial development to the north. The vegetation community is dominated by Typha spp. with a marginal shrub zone of Salix exigua. The soil pit dug at the time of sampling was composed of 15 cm silty clay over 25 cm sandy loam. The pit filled to the surface with ground water and a hydric soil indicator of A4 hydrogen sulfide smell was observed.</t>
  </si>
  <si>
    <t>The site is a riparian shrubland along a small tributary of Cottonwood Creek. The hydrology is fed by brief periods of overbank flooding. The floodplain is severely disconnected with bank erosion over 3 meters throughout the reach. The stream is channelized through a culvert at each end of the site. The vegetation community is dominated by Salix exigua with a small mixed stand of Populus deltoides and Populus angustifolia.  The understory below the Salix exigua is composed of herbaceous ruderal species Arctium minus, Apocynum cannabinium, and Solidago gigantea. The soil pit was dug along the creek in the floodplain and composed of loamy sand with no hydric indicators observed at time of sampling.</t>
  </si>
  <si>
    <t xml:space="preserve">This site is a Populus deltoides/Salix exigua riparian woodland in the floodplain of the Arkansas River with historic side channels running through the wetland complex. The water flows eastward with historic side channels of the Arkansas River flooding the Populus deltoides forest. The hydrology has been severely altered west of the wetland disconnecting the side channels preventing Populus deltoides regeneration and causing the system to transition to a mesic forest with an understory dominated by Bromus inermis. A historic side channel on the northern side of the wetland complex has transitioned into a marsh dominated by Typha latifolia and Schoenoplectus tabernaemontani. Along the southern portion of the wetland another Typha/Schoenoplectus marsh is present due to a bermed trail causing water to pool at the bottom of the slope break to the south. A soil pit in the floodplain of a historic side channel revealed loamy sand saturated from the surface down to -16cm. No hydric soil indicators were observed at time of sampling. </t>
  </si>
  <si>
    <t xml:space="preserve">This wetland complex is located on a section of Smith Creek downstream of a small reservoir. It is dominated by Salix exigua shrubland patches but also includes areas of emergent wet meadow, cattail marsh, and cottonwood forest. The zone closest to the channel had a dense canopy of Populus deltoides and Salix amygdaloides as well as occasional openings in the canopy filled by Typha latifolia marsh. Large patches of wet meadow dominated by Carex nebrascensis, Juncus arcticus, and Scirpus microcarpus are dispersed throughout the site. The rest of the site was dominated by Salix exigua with a mixed mesic graminoid understory. 
</t>
  </si>
  <si>
    <t>This site is a wet meadow sloping northeast and draining into the adjacent Trout Creek. The system is fed by groundwater seeping to the surface in localized areas and concentrating in the lowest section of the wetland where the meadow is constricted into a channel by the surrounding topography before draining into Trout Creek. The vegetation community is dominated by Juncus arcticus with Dasiphoria fruticosa intermixed and patches of Carex nebrascensis and Carex utriculata in the wettest zones.  No soil pit was dug due to U.S. Forest Service restrictions.</t>
  </si>
  <si>
    <t xml:space="preserve">The site is a constructed stormwater wetland built on the west side of Colorado State University SPUR Campus between campus buildings and the South Platte River. The wetland follows a “Y” design and is fed by two stormwater input culverts at the northern end draining into two converging channels three meters wide. The channel centers are dominated by wetland marsh species Schoenoplectus tabernaemontani and Typha latifolia. The channel margins are dominated by wet meadow species Carex nebrascensis and Eleocharis palustris with the uplands transitioning into ruderal graminoids species Elymus repens and Panicium virgatum. The soil was dug to 27 cm due to an impenetrable rock layer likely due to the prior industrial use of the area. The soil pit filled to 20 cm with groundwater and was composed of sandy loam over sandy clay loam. A hydric soil inductor of  F3 depleted matrix was observed in the soil pit. </t>
  </si>
  <si>
    <t xml:space="preserve">The site is a riparian shrubland dominated by Salix exigua. The hydrology appears to be originating in a constructed marsh to the east with surface flow constricting into a small channel that drains into the South Platte River via a large culvert. This site is at the confluence of this small creek and the South Platte River and is supported by overbank flooding of both systems. There are islands in the creek that appear to have sloughed off of the bank dominated by Salix exigua cover. Another large patch of Salix exigua is present on the northern bank. The southern bank was dominated by ruderal graminoids primarily Phalaris arundinacea and Bromus inermis with patches of various disturbance tolerant species intermixed along the banks. There were three Populus deltoides saplings planted along the southern creek bank that could change the sites future vegetation structure. The slope above the north creek bank is eroding severely with little soil cover. The soil pit was dug in the floodplain and composed of loamy sand with no hydric soil indicators observed at time of sampling. </t>
  </si>
  <si>
    <t xml:space="preserve">This system is a Populus deltoides floodplain forest along Coal Creek. The wetland appears to be fed by overbank flooding with the water table observed in the soil pit at -28 cm below the soil surface at the time of sampling in August. The creek hydrology is altered by an irrigation channel pulling water from the creek and is constricted by a trail on the northern side. The sections of floodplain less constricted are wide and meandering with numerous small side channels and an open understory. The overstory is dominated by Salix fragilis with a small remenant cover of Populus deltoides. The understory is dominated by ruderal graminoid species Phalaris arundinacea, Lolium arundinaceum, and Bromus inermis, with a few small patches of Salix exigua. The soil pit was composed of a 18 cm horizon of silty clay with 40 percent root content over a horizon of gleyed silty clay mottled with a high percentage of redoxomorphic features and charcoal likely from the 2021 Marshall fire. These two horizons were separated by a 5 cm thick layer of loamy sand and river cobble. The soil pit filled with groundwater to -28 cm and a hydric soil indicator of A11 depleted below a dark surface was observed. </t>
  </si>
  <si>
    <t>This site is a series of six wet meadows in the headwaters of Snipe Creek located in the Black Forest, a dense Ponderosa Pine forest. The meadows are all located in small drainages in forest openings with hydrology driven by groundwater. The plant community is dominated by graminoids with Carex pellita, Pascopyrum smithii, and Juncus arcticus all codominating throughout the wet meadows with a few other patch types. The wettest areas are dominated by Carex nebrascensis in small patches. Additionally, there are large invasions  of Cirsium arvense, composing a significant amount of the foliar plant cover. The soil pit had 4 cm of peat moss over 36 cm depleted black clay. The soil was saturated throughout with no standing water observed in late August and a hydric soil indicator of F6 redox dark surface observed at the time of sampling.</t>
  </si>
  <si>
    <t>This site is a wet meadow following a narrow drainage sloping northwest. The system appeared fed by ground water and stream flow. The plant community is composed of small distinct patches with graminoids dominating throughout the site.  The most common patches are Alopecurus arundinacea dominated. The wetter patches are dominated by Sparganium eurycarpum and Carex nebrascensis. The southern portion of the drainage is dominated by a  small forested patch of Populus deltoides and Salix fragilis. The mesic margins along the wetland are dominated by various ruderal species. The soil pit dug at the time of sampling was composed of silty clay loam over loamy sand saturated throughout the soil pit. There were no hydric soil indicators observed in the soil pit.</t>
  </si>
  <si>
    <t>This site is a groundwater fed wet meadow in the Grave Creek headwaters located in a large complex of depressional wetlands. The system is hydrologically supported by headwater springs located throughout the wetland and concentrated in the northwestern edges of the wetland draining southeast to Graves Creek. The vegetation community is a mix of wet meadow with patches of small springheads and standing water. The wet meadow portion was dominated by Carex enebrascensis, Agrostis stolonifera, and Carex pellita. The springhead areas with standing water are dominated by Berula erecta and Nasturtium officinale. The soil pit dug at the time of sampling was composed of 26 cm of hemic (mucky) peat over clay with water filling the soil pit to -20 cm Hydric soil indicators A4 hydrogen sulfide smell and A2 histic epipedon were observed.</t>
  </si>
  <si>
    <t>This site is a mosaic of wetland types located in a narrow valley along Little Willow Creek draining northward. The western edge is a narrow riparian shrubland along a cliff break transitioning into a large wet meadow with small patches of marsh intermixed throughout. The wetland hydrology is fed by seasonal overbank flooding from the small creek a few meters in width, surface drainage, and groundwater. The vegetation community is dominated by Juncus arcticus, Eleocharis palustris, Carex stipata, and Verbena hastata. In addition to the wet meadow area there are small patches of marsh and riparian forest. The marsh patches are dominated by over 60 percent Typha latifolia cover. The riparian forest patches were a mix of Salix amygdaloides, Crataegus chrysocaropa, and Salix exigua. The soil pit dug at the time of sampling was composed of a thin 6 cm layer of silty clay over sandy loam with 20 percent gravel content. There was saturation throughout the soil pit but no hydric soil indicators were observed.</t>
  </si>
  <si>
    <t xml:space="preserve">This site is a Populus deltoides riparian woodland located along the Littleton Community Trail Park within a highly developed area. While Populus is present in the canopy along with Acer negundo, Salix fragilis is dominant. The shrub layer is dominated by Rhamnus cathartica and Fracinus pennsylvanica. Bromus inermis and other ruderal grasses dominate the herbaceous understory. Along the stream and in more open patches, herbs such as Conium maculatum and Glycyrrhiza lepidota are present. The hydrology of the park is highly impacted by water management. A concrete impoundment is located within the site and a ditch on the western end of the site empties into the creek. The soil pit was composed of 40 cm of silty clay loam with no hydric soil indicators observed at the time of sampling. </t>
  </si>
  <si>
    <t xml:space="preserve">This site is a wetland complex of cascading beaver ponds along Cherry Creek dominated by Salix exigua. The wetland hydrology is supported by overbank flooding from the creek flowing northward and by extensive beaver dams. Floodplain connectivity remains intact throughout the reach except for a few small patches with bank erosion disconnecting the floodplain. The vegetation community is dominated by Salix exigua with Carex nebrascensis, Juncus arcticus, and Sparganium eurycarpum intermixed along the banks of the reach. The margins of the deep beaver ponds are dominated by marsh species including Typha latifolia and Schoenoplectus tabernaemontani. The soil pit dug at the time of sampling was composed of 29 cm sandy clay over 11 cm of gravel. The soil pit filled with water to -14 cm and no hydric soil indicators were observed. </t>
  </si>
  <si>
    <t xml:space="preserve"> Cottonwood Creek Tributary </t>
  </si>
  <si>
    <t>Wet meadow</t>
  </si>
  <si>
    <t>Ripirian Shrubland</t>
  </si>
  <si>
    <t>Saline Meadow</t>
  </si>
  <si>
    <t>Marsh</t>
  </si>
  <si>
    <t>wetland_type</t>
  </si>
  <si>
    <t>Ripirian Forest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</si>
</sst>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F800]dddd\,\ mmmm\ dd\,\ yyyy"/>
  </numFmts>
  <fonts count="5" x14ac:knownFonts="1">
    <font>
      <sz val="10"/>
      <name val="Arial"/>
      <charset val="1"/>
    </font>
    <font>
      <sz val="10"/>
      <name val="Arial"/>
      <family val="2"/>
    </font>
    <font>
      <sz val="10"/>
      <name val="Arial"/>
      <family val="2"/>
    </font>
    <font>
      <sz val="10"/>
      <name val="Arial"/>
      <family val="2"/>
    </font>
    <font>
      <b/>
      <sz val="10"/>
      <name val="Arial"/>
      <family val="2"/>
    </font>
  </fonts>
  <fills count="3">
    <fill>
      <patternFill patternType="none"/>
    </fill>
    <fill>
      <patternFill patternType="gray125"/>
    </fill>
    <fill>
      <patternFill patternType="solid">
        <fgColor indexed="22"/>
      </patternFill>
    </fill>
  </fills>
  <borders count="1">
    <border>
      <left/>
      <right/>
      <top/>
      <bottom/>
      <diagonal/>
    </border>
  </borders>
  <cellStyleXfs count="1">
    <xf numFmtId="0" fontId="0" fillId="0" borderId="0" applyNumberFormat="0" applyFill="0" applyBorder="0" applyAlignment="0" applyProtection="0"/>
  </cellStyleXfs>
  <cellXfs count="15">
    <xf numFmtId="0" fontId="0" fillId="0" borderId="0" xfId="0"/>
    <xf numFmtId="0" fontId="2" fillId="0" borderId="0" xfId="0" applyFont="1" applyFill="1" applyBorder="1" applyAlignment="1" applyProtection="1"/>
    <xf numFmtId="0" fontId="4" fillId="2" borderId="0" xfId="0" applyFont="1" applyFill="1" applyBorder="1" applyAlignment="1" applyProtection="1">
      <alignment horizontal="left"/>
    </xf>
    <xf numFmtId="164" fontId="4" fillId="2" borderId="0" xfId="0" applyNumberFormat="1" applyFont="1" applyFill="1" applyBorder="1" applyAlignment="1" applyProtection="1">
      <alignment horizontal="left"/>
    </xf>
    <xf numFmtId="164" fontId="3" fillId="0" borderId="0" xfId="0" applyNumberFormat="1" applyFont="1" applyFill="1" applyBorder="1" applyAlignment="1" applyProtection="1">
      <alignment horizontal="left"/>
    </xf>
    <xf numFmtId="1" fontId="1" fillId="0" borderId="0" xfId="0" applyNumberFormat="1" applyFont="1" applyFill="1" applyBorder="1" applyAlignment="1" applyProtection="1">
      <alignment horizontal="left"/>
    </xf>
    <xf numFmtId="0" fontId="3" fillId="0" borderId="0" xfId="0" applyFont="1" applyFill="1" applyBorder="1" applyAlignment="1" applyProtection="1"/>
    <xf numFmtId="1" fontId="4" fillId="2" borderId="0" xfId="0" applyNumberFormat="1" applyFont="1" applyFill="1" applyBorder="1" applyAlignment="1" applyProtection="1">
      <alignment horizontal="left"/>
    </xf>
    <xf numFmtId="1" fontId="2" fillId="0" borderId="0" xfId="0" applyNumberFormat="1" applyFont="1" applyFill="1" applyBorder="1" applyAlignment="1" applyProtection="1">
      <alignment horizontal="left"/>
    </xf>
    <xf numFmtId="1" fontId="0" fillId="0" borderId="0" xfId="0" applyNumberFormat="1" applyAlignment="1">
      <alignment horizontal="left"/>
    </xf>
    <xf numFmtId="0" fontId="1" fillId="0" borderId="0" xfId="0" applyFont="1"/>
    <xf numFmtId="0" fontId="2" fillId="0" borderId="0" xfId="0" applyNumberFormat="1" applyFont="1" applyFill="1" applyBorder="1" applyAlignment="1" applyProtection="1">
      <alignment horizontal="left"/>
    </xf>
    <xf numFmtId="0" fontId="2" fillId="0" borderId="0" xfId="0" applyFont="1" applyFill="1" applyBorder="1" applyAlignment="1" applyProtection="1">
      <alignment horizontal="left"/>
    </xf>
    <xf numFmtId="0" fontId="0" fillId="0" borderId="0" xfId="0" applyAlignment="1">
      <alignment horizontal="left"/>
    </xf>
    <xf numFmtId="0" fontId="1" fillId="0" borderId="0" xfId="0" applyFont="1" applyFill="1" applyBorder="1" applyAlignment="1" applyProtection="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B1E8A7-39B9-4280-A789-4E45FA73F942}">
  <sheetPr>
    <outlinePr summaryBelow="0" summaryRight="0"/>
  </sheetPr>
  <dimension ref="A1:J45"/>
  <sheetViews>
    <sheetView tabSelected="1" workbookViewId="0">
      <pane ySplit="1" topLeftCell="A2" activePane="bottomLeft" state="frozen"/>
      <selection pane="bottomLeft" activeCell="H20" sqref="H20"/>
    </sheetView>
  </sheetViews>
  <sheetFormatPr defaultRowHeight="12.75" x14ac:dyDescent="0.2"/>
  <cols>
    <col min="1" max="1" width="7.28515625" style="13" customWidth="1"/>
    <col min="2" max="2" width="8.7109375" customWidth="1"/>
    <col min="3" max="3" width="53" customWidth="1"/>
    <col min="4" max="4" width="30.42578125" customWidth="1"/>
    <col min="5" max="5" width="6.42578125" style="9" customWidth="1"/>
    <col min="6" max="6" width="6.5703125" style="9" customWidth="1"/>
    <col min="7" max="8" width="14.140625" customWidth="1"/>
    <col min="9" max="9" width="28.5703125" customWidth="1"/>
    <col min="10" max="10" width="95.85546875" customWidth="1"/>
  </cols>
  <sheetData>
    <row r="1" spans="1:10" x14ac:dyDescent="0.2">
      <c r="A1" s="2" t="s">
        <v>11</v>
      </c>
      <c r="B1" s="2" t="s">
        <v>77</v>
      </c>
      <c r="C1" s="2" t="s">
        <v>12</v>
      </c>
      <c r="D1" s="3" t="s">
        <v>0</v>
      </c>
      <c r="E1" s="7" t="s">
        <v>13</v>
      </c>
      <c r="F1" s="7" t="s">
        <v>14</v>
      </c>
      <c r="G1" s="2" t="s">
        <v>15</v>
      </c>
      <c r="H1" s="2" t="s">
        <v>124</v>
      </c>
      <c r="I1" s="2" t="s">
        <v>16</v>
      </c>
      <c r="J1" s="2" t="s">
        <v>17</v>
      </c>
    </row>
    <row r="2" spans="1:10" x14ac:dyDescent="0.2">
      <c r="A2" s="11">
        <v>515</v>
      </c>
      <c r="B2" t="s">
        <v>36</v>
      </c>
      <c r="C2" t="s">
        <v>73</v>
      </c>
      <c r="D2" s="4">
        <v>45928</v>
      </c>
      <c r="E2" s="5">
        <v>1</v>
      </c>
      <c r="F2" s="5">
        <v>135</v>
      </c>
      <c r="G2" s="6" t="s">
        <v>19</v>
      </c>
      <c r="H2" s="6" t="s">
        <v>120</v>
      </c>
      <c r="I2" s="1" t="s">
        <v>8</v>
      </c>
      <c r="J2" s="1" t="s">
        <v>115</v>
      </c>
    </row>
    <row r="3" spans="1:10" x14ac:dyDescent="0.2">
      <c r="A3" s="11">
        <v>603</v>
      </c>
      <c r="B3" t="s">
        <v>36</v>
      </c>
      <c r="C3" t="s">
        <v>74</v>
      </c>
      <c r="D3" s="4">
        <v>45925</v>
      </c>
      <c r="E3" s="5">
        <v>1</v>
      </c>
      <c r="F3" s="5">
        <v>350</v>
      </c>
      <c r="G3" s="6" t="s">
        <v>34</v>
      </c>
      <c r="H3" s="6" t="s">
        <v>120</v>
      </c>
      <c r="I3" s="1" t="s">
        <v>5</v>
      </c>
      <c r="J3" s="1" t="s">
        <v>116</v>
      </c>
    </row>
    <row r="4" spans="1:10" x14ac:dyDescent="0.2">
      <c r="A4" s="12">
        <v>667</v>
      </c>
      <c r="B4" t="s">
        <v>37</v>
      </c>
      <c r="C4" t="s">
        <v>75</v>
      </c>
      <c r="D4" s="4">
        <v>45883</v>
      </c>
      <c r="E4" s="5">
        <v>1</v>
      </c>
      <c r="F4" s="5">
        <v>270</v>
      </c>
      <c r="G4" s="6" t="s">
        <v>24</v>
      </c>
      <c r="H4" s="14" t="s">
        <v>125</v>
      </c>
      <c r="I4" s="1" t="s">
        <v>4</v>
      </c>
      <c r="J4" s="1" t="s">
        <v>117</v>
      </c>
    </row>
    <row r="5" spans="1:10" x14ac:dyDescent="0.2">
      <c r="A5" s="12">
        <v>674</v>
      </c>
      <c r="B5" t="s">
        <v>36</v>
      </c>
      <c r="C5" t="s">
        <v>76</v>
      </c>
      <c r="D5" s="4">
        <v>45924</v>
      </c>
      <c r="E5" s="5">
        <v>1</v>
      </c>
      <c r="F5" s="5">
        <v>28</v>
      </c>
      <c r="G5" s="6" t="s">
        <v>32</v>
      </c>
      <c r="H5" s="6" t="s">
        <v>121</v>
      </c>
      <c r="I5" s="1" t="s">
        <v>2</v>
      </c>
      <c r="J5" s="1" t="s">
        <v>118</v>
      </c>
    </row>
    <row r="6" spans="1:10" x14ac:dyDescent="0.2">
      <c r="A6" s="11">
        <v>1102</v>
      </c>
      <c r="B6" t="s">
        <v>36</v>
      </c>
      <c r="C6" t="s">
        <v>38</v>
      </c>
      <c r="D6" s="4">
        <v>45886</v>
      </c>
      <c r="E6" s="5">
        <v>2</v>
      </c>
      <c r="F6" s="5">
        <v>315</v>
      </c>
      <c r="G6" s="6" t="s">
        <v>21</v>
      </c>
      <c r="H6" s="6" t="s">
        <v>120</v>
      </c>
      <c r="I6" s="1" t="s">
        <v>5</v>
      </c>
      <c r="J6" s="1" t="s">
        <v>78</v>
      </c>
    </row>
    <row r="7" spans="1:10" x14ac:dyDescent="0.2">
      <c r="A7" s="11">
        <v>1251</v>
      </c>
      <c r="B7" t="s">
        <v>36</v>
      </c>
      <c r="C7" t="s">
        <v>39</v>
      </c>
      <c r="D7" s="4">
        <v>45856</v>
      </c>
      <c r="E7" s="5">
        <v>3</v>
      </c>
      <c r="F7" s="5">
        <v>22</v>
      </c>
      <c r="G7" s="6" t="s">
        <v>22</v>
      </c>
      <c r="H7" s="6" t="s">
        <v>122</v>
      </c>
      <c r="I7" s="1" t="s">
        <v>7</v>
      </c>
      <c r="J7" s="1" t="s">
        <v>79</v>
      </c>
    </row>
    <row r="8" spans="1:10" x14ac:dyDescent="0.2">
      <c r="A8" s="11">
        <v>1270</v>
      </c>
      <c r="B8" t="s">
        <v>37</v>
      </c>
      <c r="C8" t="s">
        <v>40</v>
      </c>
      <c r="D8" s="4">
        <v>45872</v>
      </c>
      <c r="E8" s="5">
        <v>2</v>
      </c>
      <c r="F8" s="5">
        <v>150</v>
      </c>
      <c r="G8" s="6" t="s">
        <v>21</v>
      </c>
      <c r="H8" s="6" t="s">
        <v>123</v>
      </c>
      <c r="I8" s="1" t="s">
        <v>3</v>
      </c>
      <c r="J8" s="1" t="s">
        <v>80</v>
      </c>
    </row>
    <row r="9" spans="1:10" x14ac:dyDescent="0.2">
      <c r="A9" s="11">
        <v>1368</v>
      </c>
      <c r="B9" t="s">
        <v>36</v>
      </c>
      <c r="C9" t="s">
        <v>41</v>
      </c>
      <c r="D9" s="4">
        <v>45812</v>
      </c>
      <c r="E9" s="5">
        <v>5</v>
      </c>
      <c r="F9" s="5">
        <v>135</v>
      </c>
      <c r="G9" s="6" t="s">
        <v>26</v>
      </c>
      <c r="H9" s="6" t="s">
        <v>120</v>
      </c>
      <c r="I9" s="1" t="s">
        <v>8</v>
      </c>
      <c r="J9" s="1" t="s">
        <v>81</v>
      </c>
    </row>
    <row r="10" spans="1:10" x14ac:dyDescent="0.2">
      <c r="A10" s="11">
        <v>1610</v>
      </c>
      <c r="B10" t="s">
        <v>36</v>
      </c>
      <c r="C10" t="s">
        <v>42</v>
      </c>
      <c r="D10" s="4">
        <v>45898</v>
      </c>
      <c r="E10" s="5">
        <v>2</v>
      </c>
      <c r="F10" s="5">
        <v>63</v>
      </c>
      <c r="G10" s="6" t="s">
        <v>25</v>
      </c>
      <c r="H10" s="6" t="s">
        <v>122</v>
      </c>
      <c r="I10" s="1" t="s">
        <v>10</v>
      </c>
      <c r="J10" s="1" t="s">
        <v>82</v>
      </c>
    </row>
    <row r="11" spans="1:10" x14ac:dyDescent="0.2">
      <c r="A11" s="11">
        <v>1611</v>
      </c>
      <c r="B11" t="s">
        <v>36</v>
      </c>
      <c r="C11" t="s">
        <v>43</v>
      </c>
      <c r="D11" s="4">
        <v>45895</v>
      </c>
      <c r="E11" s="5">
        <v>1</v>
      </c>
      <c r="F11" s="5">
        <v>45</v>
      </c>
      <c r="G11" s="6" t="s">
        <v>26</v>
      </c>
      <c r="H11" s="6" t="s">
        <v>120</v>
      </c>
      <c r="I11" s="1" t="s">
        <v>5</v>
      </c>
      <c r="J11" s="1" t="s">
        <v>83</v>
      </c>
    </row>
    <row r="12" spans="1:10" x14ac:dyDescent="0.2">
      <c r="A12" s="11">
        <v>1617</v>
      </c>
      <c r="B12" t="s">
        <v>37</v>
      </c>
      <c r="C12" t="s">
        <v>44</v>
      </c>
      <c r="D12" s="4">
        <v>45830</v>
      </c>
      <c r="E12" s="5">
        <v>1</v>
      </c>
      <c r="F12" s="5">
        <v>266</v>
      </c>
      <c r="G12" s="6" t="s">
        <v>35</v>
      </c>
      <c r="H12" s="6" t="s">
        <v>121</v>
      </c>
      <c r="I12" s="1" t="s">
        <v>2</v>
      </c>
      <c r="J12" s="1" t="s">
        <v>84</v>
      </c>
    </row>
    <row r="13" spans="1:10" x14ac:dyDescent="0.2">
      <c r="A13" s="11">
        <v>1682</v>
      </c>
      <c r="B13" t="s">
        <v>36</v>
      </c>
      <c r="C13" t="s">
        <v>45</v>
      </c>
      <c r="D13" s="4">
        <v>45869</v>
      </c>
      <c r="E13" s="5">
        <v>3</v>
      </c>
      <c r="F13" s="5">
        <v>158</v>
      </c>
      <c r="G13" s="6" t="s">
        <v>26</v>
      </c>
      <c r="H13" s="6" t="s">
        <v>120</v>
      </c>
      <c r="I13" s="1" t="s">
        <v>3</v>
      </c>
      <c r="J13" s="1" t="s">
        <v>85</v>
      </c>
    </row>
    <row r="14" spans="1:10" x14ac:dyDescent="0.2">
      <c r="A14" s="11">
        <v>1717</v>
      </c>
      <c r="B14" t="s">
        <v>36</v>
      </c>
      <c r="C14" t="s">
        <v>46</v>
      </c>
      <c r="D14" s="4">
        <v>45900</v>
      </c>
      <c r="E14" s="5">
        <v>1</v>
      </c>
      <c r="F14" s="5">
        <v>10</v>
      </c>
      <c r="G14" s="6" t="s">
        <v>33</v>
      </c>
      <c r="H14" s="6" t="s">
        <v>120</v>
      </c>
      <c r="I14" s="1" t="s">
        <v>8</v>
      </c>
      <c r="J14" s="1" t="s">
        <v>86</v>
      </c>
    </row>
    <row r="15" spans="1:10" x14ac:dyDescent="0.2">
      <c r="A15" s="11">
        <v>1729</v>
      </c>
      <c r="B15" t="s">
        <v>37</v>
      </c>
      <c r="C15" t="s">
        <v>47</v>
      </c>
      <c r="D15" s="4">
        <v>45854</v>
      </c>
      <c r="E15" s="5">
        <v>2</v>
      </c>
      <c r="F15" s="5">
        <v>68</v>
      </c>
      <c r="G15" s="6" t="s">
        <v>21</v>
      </c>
      <c r="H15" s="6" t="s">
        <v>123</v>
      </c>
      <c r="I15" s="1" t="s">
        <v>3</v>
      </c>
      <c r="J15" s="1" t="s">
        <v>87</v>
      </c>
    </row>
    <row r="16" spans="1:10" x14ac:dyDescent="0.2">
      <c r="A16" s="11">
        <v>1731</v>
      </c>
      <c r="B16" t="s">
        <v>37</v>
      </c>
      <c r="C16" t="s">
        <v>48</v>
      </c>
      <c r="D16" s="4">
        <v>45926</v>
      </c>
      <c r="E16" s="5">
        <v>1</v>
      </c>
      <c r="F16" s="5">
        <v>343</v>
      </c>
      <c r="G16" s="6" t="s">
        <v>23</v>
      </c>
      <c r="H16" s="6" t="s">
        <v>120</v>
      </c>
      <c r="I16" s="1" t="s">
        <v>8</v>
      </c>
      <c r="J16" s="1" t="s">
        <v>88</v>
      </c>
    </row>
    <row r="17" spans="1:10" x14ac:dyDescent="0.2">
      <c r="A17" s="11">
        <v>1732</v>
      </c>
      <c r="B17" t="s">
        <v>37</v>
      </c>
      <c r="C17" t="s">
        <v>49</v>
      </c>
      <c r="D17" s="4">
        <v>45868</v>
      </c>
      <c r="E17" s="5">
        <v>1</v>
      </c>
      <c r="F17" s="5">
        <v>78</v>
      </c>
      <c r="G17" s="6" t="s">
        <v>24</v>
      </c>
      <c r="H17" s="14" t="s">
        <v>125</v>
      </c>
      <c r="I17" s="1" t="s">
        <v>4</v>
      </c>
      <c r="J17" s="1" t="s">
        <v>89</v>
      </c>
    </row>
    <row r="18" spans="1:10" x14ac:dyDescent="0.2">
      <c r="A18" s="11">
        <v>1743</v>
      </c>
      <c r="B18" t="s">
        <v>36</v>
      </c>
      <c r="C18" t="s">
        <v>50</v>
      </c>
      <c r="D18" s="4">
        <v>45858</v>
      </c>
      <c r="E18" s="5">
        <v>3</v>
      </c>
      <c r="F18" s="5">
        <v>358</v>
      </c>
      <c r="G18" s="6" t="s">
        <v>19</v>
      </c>
      <c r="H18" s="6" t="s">
        <v>123</v>
      </c>
      <c r="I18" s="1" t="s">
        <v>1</v>
      </c>
      <c r="J18" s="1" t="s">
        <v>90</v>
      </c>
    </row>
    <row r="19" spans="1:10" x14ac:dyDescent="0.2">
      <c r="A19" s="11">
        <v>1774</v>
      </c>
      <c r="B19" t="s">
        <v>36</v>
      </c>
      <c r="C19" t="s">
        <v>51</v>
      </c>
      <c r="D19" s="4">
        <v>45896</v>
      </c>
      <c r="E19" s="5">
        <v>1</v>
      </c>
      <c r="F19" s="5">
        <v>10</v>
      </c>
      <c r="G19" s="6" t="s">
        <v>32</v>
      </c>
      <c r="H19" s="6" t="s">
        <v>121</v>
      </c>
      <c r="I19" s="1" t="s">
        <v>2</v>
      </c>
      <c r="J19" s="1" t="s">
        <v>91</v>
      </c>
    </row>
    <row r="20" spans="1:10" x14ac:dyDescent="0.2">
      <c r="A20" s="11">
        <v>1785</v>
      </c>
      <c r="B20" t="s">
        <v>36</v>
      </c>
      <c r="C20" t="s">
        <v>52</v>
      </c>
      <c r="D20" s="4">
        <v>45911</v>
      </c>
      <c r="E20" s="5">
        <v>2</v>
      </c>
      <c r="F20" s="5">
        <v>27</v>
      </c>
      <c r="G20" s="6" t="s">
        <v>34</v>
      </c>
      <c r="H20" s="6" t="s">
        <v>120</v>
      </c>
      <c r="I20" s="1" t="s">
        <v>8</v>
      </c>
      <c r="J20" s="1" t="s">
        <v>92</v>
      </c>
    </row>
    <row r="21" spans="1:10" x14ac:dyDescent="0.2">
      <c r="A21" s="11">
        <v>1857</v>
      </c>
      <c r="B21" t="s">
        <v>36</v>
      </c>
      <c r="C21" t="s">
        <v>53</v>
      </c>
      <c r="D21" s="4">
        <v>45842</v>
      </c>
      <c r="E21" s="5">
        <v>1</v>
      </c>
      <c r="F21" s="5">
        <v>105</v>
      </c>
      <c r="G21" s="6" t="s">
        <v>22</v>
      </c>
      <c r="H21" s="6" t="s">
        <v>120</v>
      </c>
      <c r="I21" s="1" t="s">
        <v>5</v>
      </c>
      <c r="J21" s="1" t="s">
        <v>93</v>
      </c>
    </row>
    <row r="22" spans="1:10" x14ac:dyDescent="0.2">
      <c r="A22" s="11">
        <v>1867</v>
      </c>
      <c r="B22" t="s">
        <v>37</v>
      </c>
      <c r="C22" t="s">
        <v>54</v>
      </c>
      <c r="D22" s="4">
        <v>45828</v>
      </c>
      <c r="E22" s="5">
        <v>1</v>
      </c>
      <c r="F22" s="5">
        <v>29</v>
      </c>
      <c r="G22" s="6" t="s">
        <v>29</v>
      </c>
      <c r="H22" s="14" t="s">
        <v>125</v>
      </c>
      <c r="I22" s="1" t="s">
        <v>4</v>
      </c>
      <c r="J22" s="1" t="s">
        <v>94</v>
      </c>
    </row>
    <row r="23" spans="1:10" x14ac:dyDescent="0.2">
      <c r="A23" s="11">
        <v>1869</v>
      </c>
      <c r="B23" t="s">
        <v>37</v>
      </c>
      <c r="C23" t="s">
        <v>55</v>
      </c>
      <c r="D23" s="4">
        <v>45855</v>
      </c>
      <c r="E23" s="5">
        <v>2</v>
      </c>
      <c r="F23" s="5">
        <v>67</v>
      </c>
      <c r="G23" s="6" t="s">
        <v>21</v>
      </c>
      <c r="H23" s="6" t="s">
        <v>123</v>
      </c>
      <c r="I23" s="1" t="s">
        <v>3</v>
      </c>
      <c r="J23" s="1" t="s">
        <v>95</v>
      </c>
    </row>
    <row r="24" spans="1:10" x14ac:dyDescent="0.2">
      <c r="A24" s="11">
        <v>1870</v>
      </c>
      <c r="B24" t="s">
        <v>37</v>
      </c>
      <c r="C24" t="s">
        <v>56</v>
      </c>
      <c r="D24" s="4">
        <v>45845</v>
      </c>
      <c r="E24" s="5">
        <v>1</v>
      </c>
      <c r="F24" s="5">
        <v>315</v>
      </c>
      <c r="G24" s="6" t="s">
        <v>20</v>
      </c>
      <c r="H24" s="14" t="s">
        <v>125</v>
      </c>
      <c r="I24" s="1" t="s">
        <v>4</v>
      </c>
      <c r="J24" s="1" t="s">
        <v>96</v>
      </c>
    </row>
    <row r="25" spans="1:10" x14ac:dyDescent="0.2">
      <c r="A25" s="11">
        <v>1871</v>
      </c>
      <c r="B25" t="s">
        <v>37</v>
      </c>
      <c r="C25" t="s">
        <v>57</v>
      </c>
      <c r="D25" s="4">
        <v>45855</v>
      </c>
      <c r="E25" s="5">
        <v>2</v>
      </c>
      <c r="F25" s="5">
        <v>10</v>
      </c>
      <c r="G25" s="6" t="s">
        <v>23</v>
      </c>
      <c r="H25" s="6" t="s">
        <v>123</v>
      </c>
      <c r="I25" s="1" t="s">
        <v>6</v>
      </c>
      <c r="J25" s="1" t="s">
        <v>97</v>
      </c>
    </row>
    <row r="26" spans="1:10" x14ac:dyDescent="0.2">
      <c r="A26" s="11">
        <v>1872</v>
      </c>
      <c r="B26" t="s">
        <v>37</v>
      </c>
      <c r="C26" t="s">
        <v>58</v>
      </c>
      <c r="D26" s="4">
        <v>45843</v>
      </c>
      <c r="E26" s="5">
        <v>1</v>
      </c>
      <c r="F26" s="5">
        <v>120</v>
      </c>
      <c r="G26" s="6" t="s">
        <v>20</v>
      </c>
      <c r="H26" s="6" t="s">
        <v>121</v>
      </c>
      <c r="I26" s="1" t="s">
        <v>2</v>
      </c>
      <c r="J26" s="1" t="s">
        <v>98</v>
      </c>
    </row>
    <row r="27" spans="1:10" x14ac:dyDescent="0.2">
      <c r="A27" s="11">
        <v>1874</v>
      </c>
      <c r="B27" t="s">
        <v>37</v>
      </c>
      <c r="C27" t="s">
        <v>59</v>
      </c>
      <c r="D27" s="4">
        <v>45844</v>
      </c>
      <c r="E27" s="5">
        <v>1</v>
      </c>
      <c r="F27" s="5">
        <v>150</v>
      </c>
      <c r="G27" s="6" t="s">
        <v>21</v>
      </c>
      <c r="H27" s="6" t="s">
        <v>123</v>
      </c>
      <c r="I27" s="1" t="s">
        <v>3</v>
      </c>
      <c r="J27" s="1" t="s">
        <v>99</v>
      </c>
    </row>
    <row r="28" spans="1:10" x14ac:dyDescent="0.2">
      <c r="A28" s="11">
        <v>1875</v>
      </c>
      <c r="B28" t="s">
        <v>37</v>
      </c>
      <c r="C28" t="s">
        <v>60</v>
      </c>
      <c r="D28" s="4">
        <v>45846</v>
      </c>
      <c r="E28" s="5">
        <v>3</v>
      </c>
      <c r="F28" s="5">
        <v>235</v>
      </c>
      <c r="G28" s="6" t="s">
        <v>20</v>
      </c>
      <c r="H28" s="6" t="s">
        <v>121</v>
      </c>
      <c r="I28" s="1" t="s">
        <v>2</v>
      </c>
      <c r="J28" s="1" t="s">
        <v>100</v>
      </c>
    </row>
    <row r="29" spans="1:10" x14ac:dyDescent="0.2">
      <c r="A29" s="11">
        <v>1897</v>
      </c>
      <c r="B29" t="s">
        <v>37</v>
      </c>
      <c r="C29" t="s">
        <v>61</v>
      </c>
      <c r="D29" s="4">
        <v>45871</v>
      </c>
      <c r="E29" s="5">
        <v>1</v>
      </c>
      <c r="F29" s="5">
        <v>116</v>
      </c>
      <c r="G29" s="6" t="s">
        <v>24</v>
      </c>
      <c r="H29" s="14" t="s">
        <v>125</v>
      </c>
      <c r="I29" s="1" t="s">
        <v>4</v>
      </c>
      <c r="J29" s="1" t="s">
        <v>101</v>
      </c>
    </row>
    <row r="30" spans="1:10" x14ac:dyDescent="0.2">
      <c r="A30" s="11">
        <v>1911</v>
      </c>
      <c r="B30" t="s">
        <v>37</v>
      </c>
      <c r="C30" t="s">
        <v>62</v>
      </c>
      <c r="D30" s="4">
        <v>45831</v>
      </c>
      <c r="E30" s="5">
        <v>1</v>
      </c>
      <c r="F30" s="5">
        <v>140</v>
      </c>
      <c r="G30" s="6" t="s">
        <v>18</v>
      </c>
      <c r="H30" s="6" t="s">
        <v>121</v>
      </c>
      <c r="I30" s="1" t="s">
        <v>4</v>
      </c>
      <c r="J30" s="1" t="s">
        <v>102</v>
      </c>
    </row>
    <row r="31" spans="1:10" x14ac:dyDescent="0.2">
      <c r="A31" s="11">
        <v>1912</v>
      </c>
      <c r="B31" t="s">
        <v>37</v>
      </c>
      <c r="C31" t="s">
        <v>63</v>
      </c>
      <c r="D31" s="4">
        <v>45857</v>
      </c>
      <c r="E31" s="5">
        <v>3</v>
      </c>
      <c r="F31" s="5">
        <v>123</v>
      </c>
      <c r="G31" s="6" t="s">
        <v>21</v>
      </c>
      <c r="H31" s="6" t="s">
        <v>123</v>
      </c>
      <c r="I31" s="1" t="s">
        <v>3</v>
      </c>
      <c r="J31" s="1" t="s">
        <v>103</v>
      </c>
    </row>
    <row r="32" spans="1:10" x14ac:dyDescent="0.2">
      <c r="A32" s="11">
        <v>1915</v>
      </c>
      <c r="B32" t="s">
        <v>37</v>
      </c>
      <c r="C32" t="s">
        <v>64</v>
      </c>
      <c r="D32" s="4">
        <v>45869</v>
      </c>
      <c r="E32" s="5">
        <v>5</v>
      </c>
      <c r="F32" s="5">
        <v>26</v>
      </c>
      <c r="G32" s="6" t="s">
        <v>25</v>
      </c>
      <c r="H32" s="6" t="s">
        <v>120</v>
      </c>
      <c r="I32" s="1" t="s">
        <v>8</v>
      </c>
      <c r="J32" s="1" t="s">
        <v>104</v>
      </c>
    </row>
    <row r="33" spans="1:10" x14ac:dyDescent="0.2">
      <c r="A33" s="11">
        <v>1916</v>
      </c>
      <c r="B33" t="s">
        <v>37</v>
      </c>
      <c r="C33" t="s">
        <v>39</v>
      </c>
      <c r="D33" s="4">
        <v>45896</v>
      </c>
      <c r="E33" s="5">
        <v>1</v>
      </c>
      <c r="F33" s="5">
        <v>246</v>
      </c>
      <c r="G33" s="6" t="s">
        <v>31</v>
      </c>
      <c r="H33" s="6" t="s">
        <v>123</v>
      </c>
      <c r="I33" s="1" t="s">
        <v>9</v>
      </c>
      <c r="J33" s="1" t="s">
        <v>105</v>
      </c>
    </row>
    <row r="34" spans="1:10" x14ac:dyDescent="0.2">
      <c r="A34" s="11">
        <v>1917</v>
      </c>
      <c r="B34" t="s">
        <v>37</v>
      </c>
      <c r="C34" s="10" t="s">
        <v>119</v>
      </c>
      <c r="D34" s="4">
        <v>45881</v>
      </c>
      <c r="E34" s="5">
        <v>2</v>
      </c>
      <c r="F34" s="5">
        <v>272</v>
      </c>
      <c r="G34" s="6" t="s">
        <v>20</v>
      </c>
      <c r="H34" s="6" t="s">
        <v>121</v>
      </c>
      <c r="I34" s="1" t="s">
        <v>2</v>
      </c>
      <c r="J34" s="1" t="s">
        <v>106</v>
      </c>
    </row>
    <row r="35" spans="1:10" x14ac:dyDescent="0.2">
      <c r="A35" s="11">
        <v>1931</v>
      </c>
      <c r="B35" t="s">
        <v>37</v>
      </c>
      <c r="C35" t="s">
        <v>65</v>
      </c>
      <c r="D35" s="4">
        <v>45870</v>
      </c>
      <c r="E35" s="5">
        <v>2</v>
      </c>
      <c r="F35" s="5">
        <v>112</v>
      </c>
      <c r="G35" s="6" t="s">
        <v>24</v>
      </c>
      <c r="H35" s="14" t="s">
        <v>125</v>
      </c>
      <c r="I35" s="1" t="s">
        <v>4</v>
      </c>
      <c r="J35" s="1" t="s">
        <v>107</v>
      </c>
    </row>
    <row r="36" spans="1:10" x14ac:dyDescent="0.2">
      <c r="A36" s="11">
        <v>1952</v>
      </c>
      <c r="B36" t="s">
        <v>36</v>
      </c>
      <c r="C36" t="s">
        <v>66</v>
      </c>
      <c r="D36" s="4">
        <v>45882</v>
      </c>
      <c r="E36" s="5">
        <v>4</v>
      </c>
      <c r="F36" s="5">
        <v>230</v>
      </c>
      <c r="G36" s="6" t="s">
        <v>30</v>
      </c>
      <c r="H36" s="14" t="s">
        <v>125</v>
      </c>
      <c r="I36" s="1" t="s">
        <v>2</v>
      </c>
      <c r="J36" s="1" t="s">
        <v>108</v>
      </c>
    </row>
    <row r="37" spans="1:10" x14ac:dyDescent="0.2">
      <c r="A37" s="11">
        <v>1960</v>
      </c>
      <c r="B37" t="s">
        <v>36</v>
      </c>
      <c r="C37" t="s">
        <v>67</v>
      </c>
      <c r="D37" s="4">
        <v>45910</v>
      </c>
      <c r="E37" s="5">
        <v>4</v>
      </c>
      <c r="F37" s="5">
        <v>325</v>
      </c>
      <c r="G37" s="6" t="s">
        <v>26</v>
      </c>
      <c r="H37" s="6" t="s">
        <v>120</v>
      </c>
      <c r="I37" s="1" t="s">
        <v>5</v>
      </c>
      <c r="J37" s="1" t="s">
        <v>109</v>
      </c>
    </row>
    <row r="38" spans="1:10" x14ac:dyDescent="0.2">
      <c r="A38" s="11">
        <v>1961</v>
      </c>
      <c r="B38" t="s">
        <v>37</v>
      </c>
      <c r="C38" t="s">
        <v>68</v>
      </c>
      <c r="D38" s="4">
        <v>45884</v>
      </c>
      <c r="E38" s="5">
        <v>2</v>
      </c>
      <c r="F38" s="5">
        <v>187</v>
      </c>
      <c r="G38" s="6" t="s">
        <v>28</v>
      </c>
      <c r="H38" s="6" t="s">
        <v>123</v>
      </c>
      <c r="I38" s="1" t="s">
        <v>3</v>
      </c>
      <c r="J38" s="1" t="s">
        <v>110</v>
      </c>
    </row>
    <row r="39" spans="1:10" x14ac:dyDescent="0.2">
      <c r="A39" s="11">
        <v>1962</v>
      </c>
      <c r="B39" t="s">
        <v>37</v>
      </c>
      <c r="C39" t="s">
        <v>69</v>
      </c>
      <c r="D39" s="4">
        <v>45884</v>
      </c>
      <c r="E39" s="5">
        <v>1</v>
      </c>
      <c r="F39" s="5">
        <v>265</v>
      </c>
      <c r="G39" s="6" t="s">
        <v>27</v>
      </c>
      <c r="H39" s="6" t="s">
        <v>121</v>
      </c>
      <c r="I39" s="1" t="s">
        <v>2</v>
      </c>
      <c r="J39" s="1" t="s">
        <v>111</v>
      </c>
    </row>
    <row r="40" spans="1:10" x14ac:dyDescent="0.2">
      <c r="A40" s="11">
        <v>1964</v>
      </c>
      <c r="B40" t="s">
        <v>37</v>
      </c>
      <c r="C40" t="s">
        <v>70</v>
      </c>
      <c r="D40" s="4">
        <v>45885</v>
      </c>
      <c r="E40" s="5">
        <v>1</v>
      </c>
      <c r="F40" s="5">
        <v>60</v>
      </c>
      <c r="G40" s="6" t="s">
        <v>29</v>
      </c>
      <c r="H40" s="14" t="s">
        <v>125</v>
      </c>
      <c r="I40" s="1" t="s">
        <v>4</v>
      </c>
      <c r="J40" s="1" t="s">
        <v>112</v>
      </c>
    </row>
    <row r="41" spans="1:10" x14ac:dyDescent="0.2">
      <c r="A41" s="11">
        <v>1965</v>
      </c>
      <c r="B41" t="s">
        <v>36</v>
      </c>
      <c r="C41" t="s">
        <v>71</v>
      </c>
      <c r="D41" s="4">
        <v>45897</v>
      </c>
      <c r="E41" s="5">
        <v>3</v>
      </c>
      <c r="F41" s="5">
        <v>330</v>
      </c>
      <c r="G41" s="6" t="s">
        <v>22</v>
      </c>
      <c r="H41" s="6" t="s">
        <v>120</v>
      </c>
      <c r="I41" s="1" t="s">
        <v>8</v>
      </c>
      <c r="J41" s="1" t="s">
        <v>113</v>
      </c>
    </row>
    <row r="42" spans="1:10" x14ac:dyDescent="0.2">
      <c r="A42" s="11">
        <v>1966</v>
      </c>
      <c r="B42" t="s">
        <v>36</v>
      </c>
      <c r="C42" t="s">
        <v>72</v>
      </c>
      <c r="D42" s="4">
        <v>45898</v>
      </c>
      <c r="E42" s="5">
        <v>2</v>
      </c>
      <c r="F42" s="5">
        <v>320</v>
      </c>
      <c r="G42" s="6" t="s">
        <v>25</v>
      </c>
      <c r="H42" s="6" t="s">
        <v>120</v>
      </c>
      <c r="I42" s="1" t="s">
        <v>1</v>
      </c>
      <c r="J42" s="1" t="s">
        <v>114</v>
      </c>
    </row>
    <row r="43" spans="1:10" x14ac:dyDescent="0.2">
      <c r="A43" s="12"/>
      <c r="B43" s="1" t="str">
        <f>LEFT(C43,4)</f>
        <v/>
      </c>
      <c r="C43" s="1"/>
      <c r="D43" s="4"/>
      <c r="E43" s="8"/>
      <c r="F43" s="8"/>
      <c r="I43" s="1"/>
      <c r="J43" s="1"/>
    </row>
    <row r="45" spans="1:10" x14ac:dyDescent="0.2">
      <c r="D45" s="4"/>
    </row>
  </sheetData>
  <autoFilter ref="A1:J43" xr:uid="{7E406DF3-7E82-4149-91EB-D95E39FA778F}">
    <sortState xmlns:xlrd2="http://schemas.microsoft.com/office/spreadsheetml/2017/richdata2" ref="A2:J43">
      <sortCondition ref="A1:A43"/>
    </sortState>
  </autoFilter>
  <printOptions horizontalCentered="1"/>
  <pageMargins left="0.3" right="0.3" top="0.61" bottom="0.37" header="0.1" footer="0.1"/>
  <pageSetup paperSize="9" pageOrder="overThenDown" orientation="portrait" useFirstPageNumber="1" horizontalDpi="300" verticalDpi="300" r:id="rId1"/>
  <headerFooter alignWithMargins="0">
    <oddHeader>&amp;P</oddHeader>
    <oddFooter>&amp;F</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42BC2813AC80004186370D59BBD8E088" ma:contentTypeVersion="20" ma:contentTypeDescription="Create a new document." ma:contentTypeScope="" ma:versionID="3acae1a1b479dfc8666257355b56014a">
  <xsd:schema xmlns:xsd="http://www.w3.org/2001/XMLSchema" xmlns:xs="http://www.w3.org/2001/XMLSchema" xmlns:p="http://schemas.microsoft.com/office/2006/metadata/properties" xmlns:ns2="02860da2-2291-4489-8f26-b60e1da34419" xmlns:ns3="248d2302-19e1-4a68-b597-d5eb0aaf8959" targetNamespace="http://schemas.microsoft.com/office/2006/metadata/properties" ma:root="true" ma:fieldsID="11af91f69b4cf18aac0b95e3d19caf95" ns2:_="" ns3:_="">
    <xsd:import namespace="02860da2-2291-4489-8f26-b60e1da34419"/>
    <xsd:import namespace="248d2302-19e1-4a68-b597-d5eb0aaf8959"/>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DateTaken" minOccurs="0"/>
                <xsd:element ref="ns2:MediaServiceAutoTags" minOccurs="0"/>
                <xsd:element ref="ns2:MediaServiceOCR" minOccurs="0"/>
                <xsd:element ref="ns2:MediaServiceGenerationTime" minOccurs="0"/>
                <xsd:element ref="ns2:MediaServiceEventHashCode" minOccurs="0"/>
                <xsd:element ref="ns3:SharedWithUsers" minOccurs="0"/>
                <xsd:element ref="ns3:SharedWithDetails" minOccurs="0"/>
                <xsd:element ref="ns2:MediaServiceLocation" minOccurs="0"/>
                <xsd:element ref="ns2:MediaLengthInSeconds" minOccurs="0"/>
                <xsd:element ref="ns2:lcf76f155ced4ddcb4097134ff3c332f" minOccurs="0"/>
                <xsd:element ref="ns3:TaxCatchAll" minOccurs="0"/>
                <xsd:element ref="ns2:MediaServiceObjectDetectorVersions" minOccurs="0"/>
                <xsd:element ref="ns2:MediaServiceSearchProperties" minOccurs="0"/>
                <xsd:element ref="ns2:MediaServiceBillingMetadata" minOccurs="0"/>
                <xsd:element ref="ns2:Addtosurveyform"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2860da2-2291-4489-8f26-b60e1da3441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Location" ma:index="19" nillable="true" ma:displayName="Location" ma:internalName="MediaServiceLocation" ma:readOnly="true">
      <xsd:simpleType>
        <xsd:restriction base="dms:Text"/>
      </xsd:simpleType>
    </xsd:element>
    <xsd:element name="MediaLengthInSeconds" ma:index="20" nillable="true" ma:displayName="MediaLengthInSeconds" ma:hidden="true"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5809afe7-41e7-411a-ade2-84efccde1b30"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element name="MediaServiceBillingMetadata" ma:index="26" nillable="true" ma:displayName="MediaServiceBillingMetadata" ma:hidden="true" ma:internalName="MediaServiceBillingMetadata" ma:readOnly="true">
      <xsd:simpleType>
        <xsd:restriction base="dms:Note"/>
      </xsd:simpleType>
    </xsd:element>
    <xsd:element name="Addtosurveyform" ma:index="27" nillable="true" ma:displayName="Add to survey form" ma:format="Dropdown" ma:internalName="Addtosurveyform">
      <xsd:simpleType>
        <xsd:restriction base="dms:Choice">
          <xsd:enumeration value="Choice 1"/>
          <xsd:enumeration value="Choice 2"/>
          <xsd:enumeration value="Choice 3"/>
        </xsd:restriction>
      </xsd:simpleType>
    </xsd:element>
  </xsd:schema>
  <xsd:schema xmlns:xsd="http://www.w3.org/2001/XMLSchema" xmlns:xs="http://www.w3.org/2001/XMLSchema" xmlns:dms="http://schemas.microsoft.com/office/2006/documentManagement/types" xmlns:pc="http://schemas.microsoft.com/office/infopath/2007/PartnerControls" targetNamespace="248d2302-19e1-4a68-b597-d5eb0aaf8959" elementFormDefault="qualified">
    <xsd:import namespace="http://schemas.microsoft.com/office/2006/documentManagement/types"/>
    <xsd:import namespace="http://schemas.microsoft.com/office/infopath/2007/PartnerControls"/>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2cb3281f-decb-4a71-b89f-9bdf91970408}" ma:internalName="TaxCatchAll" ma:showField="CatchAllData" ma:web="248d2302-19e1-4a68-b597-d5eb0aaf895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02860da2-2291-4489-8f26-b60e1da34419">
      <Terms xmlns="http://schemas.microsoft.com/office/infopath/2007/PartnerControls"/>
    </lcf76f155ced4ddcb4097134ff3c332f>
    <TaxCatchAll xmlns="248d2302-19e1-4a68-b597-d5eb0aaf8959" xsi:nil="true"/>
    <Addtosurveyform xmlns="02860da2-2291-4489-8f26-b60e1da34419" xsi:nil="true"/>
  </documentManagement>
</p:properties>
</file>

<file path=customXml/itemProps1.xml><?xml version="1.0" encoding="utf-8"?>
<ds:datastoreItem xmlns:ds="http://schemas.openxmlformats.org/officeDocument/2006/customXml" ds:itemID="{18B1C9F3-CB32-4E01-A8C5-8CA38C1DBB9C}">
  <ds:schemaRefs>
    <ds:schemaRef ds:uri="http://schemas.microsoft.com/sharepoint/v3/contenttype/forms"/>
  </ds:schemaRefs>
</ds:datastoreItem>
</file>

<file path=customXml/itemProps2.xml><?xml version="1.0" encoding="utf-8"?>
<ds:datastoreItem xmlns:ds="http://schemas.openxmlformats.org/officeDocument/2006/customXml" ds:itemID="{625BD6A4-4BAB-446A-A41A-1E26BD4DE20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2860da2-2291-4489-8f26-b60e1da34419"/>
    <ds:schemaRef ds:uri="248d2302-19e1-4a68-b597-d5eb0aaf895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7E6D1FF6-F9B3-42A2-A604-FFBBF7E779DB}">
  <ds:schemaRefs>
    <ds:schemaRef ds:uri="http://schemas.microsoft.com/office/2006/metadata/properties"/>
    <ds:schemaRef ds:uri="http://schemas.microsoft.com/office/infopath/2007/PartnerControls"/>
    <ds:schemaRef ds:uri="02860da2-2291-4489-8f26-b60e1da34419"/>
    <ds:schemaRef ds:uri="248d2302-19e1-4a68-b597-d5eb0aaf8959"/>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site_info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Knaggs,Luke</dc:creator>
  <cp:lastModifiedBy>Knaggs,Luke</cp:lastModifiedBy>
  <dcterms:created xsi:type="dcterms:W3CDTF">2025-12-03T02:21:01Z</dcterms:created>
  <dcterms:modified xsi:type="dcterms:W3CDTF">2026-05-06T04:51:00Z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diaServiceImageTags">
    <vt:lpwstr/>
  </property>
  <property fmtid="{D5CDD505-2E9C-101B-9397-08002B2CF9AE}" pid="3" name="ContentTypeId">
    <vt:lpwstr>0x01010042BC2813AC80004186370D59BBD8E088</vt:lpwstr>
  </property>
</Properties>
</file>