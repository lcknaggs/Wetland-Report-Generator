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837977918\Desktop\R\2026_ESS_523A_Data_Science\Github_repositories\Wetland-Report-Generator\data\"/>
    </mc:Choice>
  </mc:AlternateContent>
  <xr:revisionPtr revIDLastSave="0" documentId="13_ncr:1_{4C76C042-56E0-4100-9C06-E7865D1BFF96}" xr6:coauthVersionLast="47" xr6:coauthVersionMax="47" xr10:uidLastSave="{00000000-0000-0000-0000-000000000000}"/>
  <bookViews>
    <workbookView xWindow="1245" yWindow="3900" windowWidth="21600" windowHeight="12645" xr2:uid="{00000000-000D-0000-FFFF-FFFF00000000}"/>
  </bookViews>
  <sheets>
    <sheet name="Social_Values" sheetId="32" r:id="rId1"/>
  </sheets>
  <definedNames>
    <definedName name="_xlnm._FilterDatabase" localSheetId="0" hidden="1">Social_Values!$A$1:$Q$42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32" l="1"/>
  <c r="Q23" i="32"/>
  <c r="Q24" i="32"/>
  <c r="Q28" i="32"/>
  <c r="Q32" i="32"/>
  <c r="Q33" i="32"/>
  <c r="Q37" i="32"/>
  <c r="Q38" i="32"/>
  <c r="Q39" i="32"/>
  <c r="Q40" i="32"/>
  <c r="P3" i="32"/>
  <c r="Q3" i="32" s="1"/>
  <c r="P4" i="32"/>
  <c r="Q4" i="32" s="1"/>
  <c r="P5" i="32"/>
  <c r="Q5" i="32" s="1"/>
  <c r="P6" i="32"/>
  <c r="Q6" i="32" s="1"/>
  <c r="P7" i="32"/>
  <c r="Q7" i="32" s="1"/>
  <c r="P8" i="32"/>
  <c r="Q8" i="32" s="1"/>
  <c r="P9" i="32"/>
  <c r="Q9" i="32" s="1"/>
  <c r="P10" i="32"/>
  <c r="Q10" i="32" s="1"/>
  <c r="P11" i="32"/>
  <c r="Q11" i="32" s="1"/>
  <c r="P12" i="32"/>
  <c r="Q12" i="32" s="1"/>
  <c r="P13" i="32"/>
  <c r="Q13" i="32" s="1"/>
  <c r="P14" i="32"/>
  <c r="Q14" i="32" s="1"/>
  <c r="P15" i="32"/>
  <c r="Q15" i="32" s="1"/>
  <c r="P16" i="32"/>
  <c r="Q16" i="32" s="1"/>
  <c r="P17" i="32"/>
  <c r="Q17" i="32" s="1"/>
  <c r="P18" i="32"/>
  <c r="Q18" i="32" s="1"/>
  <c r="P19" i="32"/>
  <c r="Q19" i="32" s="1"/>
  <c r="P20" i="32"/>
  <c r="Q20" i="32" s="1"/>
  <c r="P21" i="32"/>
  <c r="Q21" i="32" s="1"/>
  <c r="P22" i="32"/>
  <c r="P23" i="32"/>
  <c r="P24" i="32"/>
  <c r="P25" i="32"/>
  <c r="Q25" i="32" s="1"/>
  <c r="P26" i="32"/>
  <c r="Q26" i="32" s="1"/>
  <c r="P27" i="32"/>
  <c r="Q27" i="32" s="1"/>
  <c r="P28" i="32"/>
  <c r="P29" i="32"/>
  <c r="Q29" i="32" s="1"/>
  <c r="P30" i="32"/>
  <c r="Q30" i="32" s="1"/>
  <c r="P31" i="32"/>
  <c r="Q31" i="32" s="1"/>
  <c r="P32" i="32"/>
  <c r="P33" i="32"/>
  <c r="P34" i="32"/>
  <c r="Q34" i="32" s="1"/>
  <c r="P35" i="32"/>
  <c r="Q35" i="32" s="1"/>
  <c r="P36" i="32"/>
  <c r="Q36" i="32" s="1"/>
  <c r="P37" i="32"/>
  <c r="P38" i="32"/>
  <c r="P39" i="32"/>
  <c r="P40" i="32"/>
  <c r="P41" i="32"/>
  <c r="Q41" i="32" s="1"/>
  <c r="P42" i="32"/>
  <c r="Q42" i="32" s="1"/>
  <c r="P2" i="32"/>
  <c r="Q2" i="32" s="1"/>
</calcChain>
</file>

<file path=xl/sharedStrings.xml><?xml version="1.0" encoding="utf-8"?>
<sst xmlns="http://schemas.openxmlformats.org/spreadsheetml/2006/main" count="58" uniqueCount="58">
  <si>
    <t>TIA_ID</t>
  </si>
  <si>
    <t>public_accessibility</t>
  </si>
  <si>
    <t>ada_accessibility</t>
  </si>
  <si>
    <t>recreation</t>
  </si>
  <si>
    <t>education</t>
  </si>
  <si>
    <t>social_cohesion</t>
  </si>
  <si>
    <t>sound_scape</t>
  </si>
  <si>
    <t>sense_of_place</t>
  </si>
  <si>
    <t>wetland_size</t>
  </si>
  <si>
    <t>mean_impervious_surface</t>
  </si>
  <si>
    <t>population_density</t>
  </si>
  <si>
    <t>total</t>
  </si>
  <si>
    <t>percentage_of_total</t>
  </si>
  <si>
    <t>date</t>
  </si>
  <si>
    <t>environmental_justice_area</t>
  </si>
  <si>
    <t>undersurveyed_area</t>
  </si>
  <si>
    <t xml:space="preserve"> Graves Creek Springs</t>
  </si>
  <si>
    <t xml:space="preserve"> Little Willow Creek</t>
  </si>
  <si>
    <t xml:space="preserve"> Littleton Ditch Seep </t>
  </si>
  <si>
    <t xml:space="preserve"> Castlewood Valley Beaver Complex</t>
  </si>
  <si>
    <t xml:space="preserve"> Howard Creek Tributary</t>
  </si>
  <si>
    <t xml:space="preserve"> Black Squirrel Creek South</t>
  </si>
  <si>
    <t xml:space="preserve"> Beaver Creek Floodplain</t>
  </si>
  <si>
    <t xml:space="preserve"> Brannigan Springs</t>
  </si>
  <si>
    <t xml:space="preserve"> Spring Gulch</t>
  </si>
  <si>
    <t xml:space="preserve"> Box Elder Wetland Complex</t>
  </si>
  <si>
    <t xml:space="preserve"> Big Dry Creek</t>
  </si>
  <si>
    <t xml:space="preserve"> Coal Creek</t>
  </si>
  <si>
    <t xml:space="preserve"> South Boulder Creek</t>
  </si>
  <si>
    <t xml:space="preserve"> Wheat ridge </t>
  </si>
  <si>
    <t xml:space="preserve"> Cottonwood Creek</t>
  </si>
  <si>
    <t xml:space="preserve"> Cottonwood Bend</t>
  </si>
  <si>
    <t xml:space="preserve"> Cook Creek Beaver Wetland</t>
  </si>
  <si>
    <t xml:space="preserve"> West Cherry Creek</t>
  </si>
  <si>
    <t xml:space="preserve"> Huerfano Ranch S Floodplain Meadow</t>
  </si>
  <si>
    <t xml:space="preserve"> Magpie Natural Area</t>
  </si>
  <si>
    <t xml:space="preserve"> Arkansas Floodplain Beaver Meadow</t>
  </si>
  <si>
    <t xml:space="preserve"> Runyon Lake and Trail Wetland </t>
  </si>
  <si>
    <t xml:space="preserve"> Minnequa Reservior </t>
  </si>
  <si>
    <t xml:space="preserve"> Arkansas and Fountain Creek Confluence</t>
  </si>
  <si>
    <t xml:space="preserve"> Fountain Creek Nature Center </t>
  </si>
  <si>
    <t xml:space="preserve"> Jimmy Camp Creek</t>
  </si>
  <si>
    <t xml:space="preserve"> Arkansas River Hobson</t>
  </si>
  <si>
    <t xml:space="preserve"> Niver Creek Wetland</t>
  </si>
  <si>
    <t xml:space="preserve"> Marjorie Perry</t>
  </si>
  <si>
    <t xml:space="preserve"> Black Forest Shoup Road</t>
  </si>
  <si>
    <t xml:space="preserve"> Black Squirrel Creek North</t>
  </si>
  <si>
    <t xml:space="preserve"> Cottonwood Creek Tributary </t>
  </si>
  <si>
    <t xml:space="preserve"> John Griffin Park</t>
  </si>
  <si>
    <t xml:space="preserve"> Smith Creek</t>
  </si>
  <si>
    <t xml:space="preserve"> Trout Creek Spring</t>
  </si>
  <si>
    <t xml:space="preserve"> SPUR Campus Constructed wetland</t>
  </si>
  <si>
    <t xml:space="preserve"> Globeville Park </t>
  </si>
  <si>
    <t xml:space="preserve"> Louisville Coal Creek</t>
  </si>
  <si>
    <t xml:space="preserve"> Pineries Wet Meadows</t>
  </si>
  <si>
    <t xml:space="preserve"> Hay Gulch</t>
  </si>
  <si>
    <t xml:space="preserve"> Box Elder creek</t>
  </si>
  <si>
    <t>site_name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</si>
</sst>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0"/>
      <color rgb="FF000000"/>
      <name val="Arial"/>
      <scheme val="minor"/>
    </font>
    <font>
      <b/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1" applyNumberFormat="1" applyFont="1" applyBorder="1" applyAlignment="1">
      <alignment horizontal="left"/>
    </xf>
    <xf numFmtId="165" fontId="0" fillId="0" borderId="1" xfId="1" applyNumberFormat="1" applyFont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0" borderId="3" xfId="0" applyNumberForma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616E-C37E-455D-B556-1DF4446BCEE3}">
  <sheetPr>
    <outlinePr summaryBelow="0" summaryRight="0"/>
    <pageSetUpPr fitToPage="1"/>
  </sheetPr>
  <dimension ref="A1:AI4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12.5703125" defaultRowHeight="15.75" customHeight="1" x14ac:dyDescent="0.2"/>
  <cols>
    <col min="1" max="1" width="8.7109375" style="1" customWidth="1"/>
    <col min="2" max="2" width="27.140625" style="1" customWidth="1"/>
    <col min="3" max="3" width="11.5703125" style="1" customWidth="1"/>
    <col min="4" max="4" width="22" style="1" customWidth="1"/>
    <col min="5" max="5" width="19" style="1" customWidth="1"/>
    <col min="6" max="6" width="15.7109375" style="1" customWidth="1"/>
    <col min="7" max="7" width="34.42578125" style="1" customWidth="1"/>
    <col min="8" max="8" width="17.28515625" style="1" customWidth="1"/>
    <col min="9" max="9" width="20.7109375" style="1" customWidth="1"/>
    <col min="10" max="10" width="18.28515625" style="1" customWidth="1"/>
    <col min="11" max="11" width="14.7109375" style="1" customWidth="1"/>
    <col min="12" max="12" width="18.7109375" style="1" customWidth="1"/>
    <col min="13" max="13" width="19.28515625" style="1" customWidth="1"/>
    <col min="14" max="14" width="37.5703125" style="1" customWidth="1"/>
    <col min="15" max="15" width="15" style="1" customWidth="1"/>
    <col min="16" max="16" width="10" style="1" customWidth="1"/>
    <col min="17" max="34" width="12.28515625" style="1" customWidth="1"/>
  </cols>
  <sheetData>
    <row r="1" spans="1:35" s="6" customFormat="1" ht="30" customHeight="1" x14ac:dyDescent="0.2">
      <c r="A1" s="4" t="s">
        <v>0</v>
      </c>
      <c r="B1" s="4" t="s">
        <v>57</v>
      </c>
      <c r="C1" s="4" t="s">
        <v>13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7" t="s">
        <v>8</v>
      </c>
      <c r="L1" s="4" t="s">
        <v>9</v>
      </c>
      <c r="M1" s="4" t="s">
        <v>10</v>
      </c>
      <c r="N1" s="4" t="s">
        <v>15</v>
      </c>
      <c r="O1" s="4" t="s">
        <v>14</v>
      </c>
      <c r="P1" s="4" t="s">
        <v>11</v>
      </c>
      <c r="Q1" s="5" t="s">
        <v>12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5.75" customHeight="1" x14ac:dyDescent="0.2">
      <c r="A2" s="2">
        <v>515</v>
      </c>
      <c r="B2" s="3" t="s">
        <v>16</v>
      </c>
      <c r="C2" s="9">
        <v>45928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2</v>
      </c>
      <c r="J2" s="8">
        <v>0</v>
      </c>
      <c r="K2" s="8">
        <v>1.5</v>
      </c>
      <c r="L2" s="8">
        <v>0.5</v>
      </c>
      <c r="M2" s="8">
        <v>0</v>
      </c>
      <c r="N2" s="8">
        <v>1</v>
      </c>
      <c r="O2" s="8">
        <v>0.5</v>
      </c>
      <c r="P2" s="8">
        <f>SUM(D2:O2)</f>
        <v>5.5</v>
      </c>
      <c r="Q2" s="11">
        <f>P2/24</f>
        <v>0.22916666666666666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5.75" customHeight="1" x14ac:dyDescent="0.2">
      <c r="A3" s="2">
        <v>603</v>
      </c>
      <c r="B3" s="3" t="s">
        <v>17</v>
      </c>
      <c r="C3" s="13">
        <v>45925</v>
      </c>
      <c r="D3" s="8">
        <v>1</v>
      </c>
      <c r="E3" s="8">
        <v>1</v>
      </c>
      <c r="F3" s="8">
        <v>1</v>
      </c>
      <c r="G3" s="8">
        <v>2</v>
      </c>
      <c r="H3" s="8">
        <v>0.5</v>
      </c>
      <c r="I3" s="8">
        <v>2</v>
      </c>
      <c r="J3" s="8">
        <v>1</v>
      </c>
      <c r="K3" s="8">
        <v>1</v>
      </c>
      <c r="L3" s="8">
        <v>0.5</v>
      </c>
      <c r="M3" s="8">
        <v>1</v>
      </c>
      <c r="N3" s="8">
        <v>2</v>
      </c>
      <c r="O3" s="8">
        <v>0</v>
      </c>
      <c r="P3" s="8">
        <f t="shared" ref="P3:P42" si="0">SUM(D3:O3)</f>
        <v>13</v>
      </c>
      <c r="Q3" s="11">
        <f t="shared" ref="Q3:Q42" si="1">P3/24</f>
        <v>0.54166666666666663</v>
      </c>
    </row>
    <row r="4" spans="1:35" ht="15.75" customHeight="1" x14ac:dyDescent="0.2">
      <c r="A4" s="2">
        <v>667</v>
      </c>
      <c r="B4" s="3" t="s">
        <v>18</v>
      </c>
      <c r="C4" s="13">
        <v>45883</v>
      </c>
      <c r="D4" s="8">
        <v>2</v>
      </c>
      <c r="E4" s="8">
        <v>0</v>
      </c>
      <c r="F4" s="8">
        <v>1.5</v>
      </c>
      <c r="G4" s="8">
        <v>0.5</v>
      </c>
      <c r="H4" s="8">
        <v>0</v>
      </c>
      <c r="I4" s="8">
        <v>1</v>
      </c>
      <c r="J4" s="8">
        <v>0</v>
      </c>
      <c r="K4" s="8">
        <v>1</v>
      </c>
      <c r="L4" s="8">
        <v>2</v>
      </c>
      <c r="M4" s="8">
        <v>2</v>
      </c>
      <c r="N4" s="8">
        <v>1</v>
      </c>
      <c r="O4" s="8">
        <v>1.5</v>
      </c>
      <c r="P4" s="8">
        <f t="shared" si="0"/>
        <v>12.5</v>
      </c>
      <c r="Q4" s="11">
        <f t="shared" si="1"/>
        <v>0.52083333333333337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5" ht="15.75" customHeight="1" x14ac:dyDescent="0.2">
      <c r="A5" s="2">
        <v>674</v>
      </c>
      <c r="B5" s="3" t="s">
        <v>19</v>
      </c>
      <c r="C5" s="13">
        <v>45924</v>
      </c>
      <c r="D5" s="8">
        <v>1</v>
      </c>
      <c r="E5" s="8">
        <v>0</v>
      </c>
      <c r="F5" s="8">
        <v>1</v>
      </c>
      <c r="G5" s="8">
        <v>2</v>
      </c>
      <c r="H5" s="8">
        <v>0.5</v>
      </c>
      <c r="I5" s="8">
        <v>2</v>
      </c>
      <c r="J5" s="8">
        <v>0.5</v>
      </c>
      <c r="K5" s="8">
        <v>1.5</v>
      </c>
      <c r="L5" s="8">
        <v>0.5</v>
      </c>
      <c r="M5" s="8">
        <v>0</v>
      </c>
      <c r="N5" s="8">
        <v>1</v>
      </c>
      <c r="O5" s="8">
        <v>0</v>
      </c>
      <c r="P5" s="8">
        <f t="shared" si="0"/>
        <v>10</v>
      </c>
      <c r="Q5" s="11">
        <f t="shared" si="1"/>
        <v>0.41666666666666669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5" ht="15.75" customHeight="1" x14ac:dyDescent="0.2">
      <c r="A6" s="2">
        <v>1102</v>
      </c>
      <c r="B6" s="3" t="s">
        <v>20</v>
      </c>
      <c r="C6" s="13">
        <v>45886</v>
      </c>
      <c r="D6" s="8">
        <v>2</v>
      </c>
      <c r="E6" s="8">
        <v>0</v>
      </c>
      <c r="F6" s="8">
        <v>1</v>
      </c>
      <c r="G6" s="8">
        <v>2</v>
      </c>
      <c r="H6" s="8">
        <v>0</v>
      </c>
      <c r="I6" s="8">
        <v>2</v>
      </c>
      <c r="J6" s="8">
        <v>0</v>
      </c>
      <c r="K6" s="8">
        <v>2</v>
      </c>
      <c r="L6" s="8">
        <v>0.5</v>
      </c>
      <c r="M6" s="8">
        <v>0</v>
      </c>
      <c r="N6" s="8">
        <v>1</v>
      </c>
      <c r="O6" s="8">
        <v>0.5</v>
      </c>
      <c r="P6" s="8">
        <f t="shared" si="0"/>
        <v>11</v>
      </c>
      <c r="Q6" s="11">
        <f t="shared" si="1"/>
        <v>0.45833333333333331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5" ht="15.75" customHeight="1" x14ac:dyDescent="0.2">
      <c r="A7" s="2">
        <v>1251</v>
      </c>
      <c r="B7" s="3" t="s">
        <v>21</v>
      </c>
      <c r="C7" s="13">
        <v>45856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</v>
      </c>
      <c r="J7" s="8">
        <v>0</v>
      </c>
      <c r="K7" s="8">
        <v>1.5</v>
      </c>
      <c r="L7" s="8">
        <v>0.5</v>
      </c>
      <c r="M7" s="8">
        <v>0</v>
      </c>
      <c r="N7" s="8">
        <v>2</v>
      </c>
      <c r="O7" s="8">
        <v>2</v>
      </c>
      <c r="P7" s="8">
        <f t="shared" si="0"/>
        <v>8</v>
      </c>
      <c r="Q7" s="11">
        <f t="shared" si="1"/>
        <v>0.33333333333333331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5" ht="15.75" customHeight="1" x14ac:dyDescent="0.2">
      <c r="A8" s="2">
        <v>1270</v>
      </c>
      <c r="B8" s="3" t="s">
        <v>22</v>
      </c>
      <c r="C8" s="13">
        <v>45872</v>
      </c>
      <c r="D8" s="8">
        <v>1</v>
      </c>
      <c r="E8" s="8">
        <v>0</v>
      </c>
      <c r="F8" s="8">
        <v>1</v>
      </c>
      <c r="G8" s="8">
        <v>0</v>
      </c>
      <c r="H8" s="8">
        <v>1.5</v>
      </c>
      <c r="I8" s="8">
        <v>2</v>
      </c>
      <c r="J8" s="8">
        <v>0</v>
      </c>
      <c r="K8" s="8">
        <v>2</v>
      </c>
      <c r="L8" s="8">
        <v>0.5</v>
      </c>
      <c r="M8" s="8">
        <v>0</v>
      </c>
      <c r="N8" s="8">
        <v>2</v>
      </c>
      <c r="O8" s="8">
        <v>1</v>
      </c>
      <c r="P8" s="8">
        <f t="shared" si="0"/>
        <v>11</v>
      </c>
      <c r="Q8" s="11">
        <f t="shared" si="1"/>
        <v>0.45833333333333331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5" ht="15.75" customHeight="1" x14ac:dyDescent="0.2">
      <c r="A9" s="2">
        <v>1368</v>
      </c>
      <c r="B9" s="3" t="s">
        <v>23</v>
      </c>
      <c r="C9" s="13">
        <v>45812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2</v>
      </c>
      <c r="L9" s="8">
        <v>0.5</v>
      </c>
      <c r="M9" s="8">
        <v>0</v>
      </c>
      <c r="N9" s="8">
        <v>1</v>
      </c>
      <c r="O9" s="8">
        <v>0.5</v>
      </c>
      <c r="P9" s="8">
        <f t="shared" si="0"/>
        <v>4</v>
      </c>
      <c r="Q9" s="11">
        <f t="shared" si="1"/>
        <v>0.16666666666666666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5" ht="12.75" x14ac:dyDescent="0.2">
      <c r="A10" s="2">
        <v>1610</v>
      </c>
      <c r="B10" s="3" t="s">
        <v>24</v>
      </c>
      <c r="C10" s="13">
        <v>45898</v>
      </c>
      <c r="D10" s="8">
        <v>0</v>
      </c>
      <c r="E10" s="8">
        <v>0</v>
      </c>
      <c r="F10" s="8">
        <v>0</v>
      </c>
      <c r="G10" s="8">
        <v>0</v>
      </c>
      <c r="H10" s="8">
        <v>2</v>
      </c>
      <c r="I10" s="8">
        <v>2</v>
      </c>
      <c r="J10" s="8">
        <v>0</v>
      </c>
      <c r="K10" s="8">
        <v>2</v>
      </c>
      <c r="L10" s="8">
        <v>0.5</v>
      </c>
      <c r="M10" s="8">
        <v>0</v>
      </c>
      <c r="N10" s="8">
        <v>2</v>
      </c>
      <c r="O10" s="8">
        <v>0.5</v>
      </c>
      <c r="P10" s="8">
        <f t="shared" si="0"/>
        <v>9</v>
      </c>
      <c r="Q10" s="11">
        <f t="shared" si="1"/>
        <v>0.375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5" ht="15.75" customHeight="1" x14ac:dyDescent="0.2">
      <c r="A11" s="12">
        <v>1611</v>
      </c>
      <c r="B11" s="3" t="s">
        <v>25</v>
      </c>
      <c r="C11" s="13">
        <v>45895</v>
      </c>
      <c r="D11" s="8">
        <v>0</v>
      </c>
      <c r="E11" s="8">
        <v>0</v>
      </c>
      <c r="F11" s="8">
        <v>0</v>
      </c>
      <c r="G11" s="8">
        <v>0</v>
      </c>
      <c r="H11" s="8">
        <v>2</v>
      </c>
      <c r="I11" s="8">
        <v>2</v>
      </c>
      <c r="J11" s="8">
        <v>0</v>
      </c>
      <c r="K11" s="8">
        <v>1.5</v>
      </c>
      <c r="L11" s="8">
        <v>0.5</v>
      </c>
      <c r="M11" s="8">
        <v>0</v>
      </c>
      <c r="N11" s="8">
        <v>2</v>
      </c>
      <c r="O11" s="8">
        <v>1.5</v>
      </c>
      <c r="P11" s="8">
        <f t="shared" si="0"/>
        <v>9.5</v>
      </c>
      <c r="Q11" s="11">
        <f t="shared" si="1"/>
        <v>0.39583333333333331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5" ht="15.75" customHeight="1" x14ac:dyDescent="0.2">
      <c r="A12" s="2">
        <v>1617</v>
      </c>
      <c r="B12" s="3" t="s">
        <v>26</v>
      </c>
      <c r="C12" s="13">
        <v>45830</v>
      </c>
      <c r="D12" s="8">
        <v>2</v>
      </c>
      <c r="E12" s="8">
        <v>0</v>
      </c>
      <c r="F12" s="8">
        <v>2</v>
      </c>
      <c r="G12" s="8">
        <v>0</v>
      </c>
      <c r="H12" s="8">
        <v>1</v>
      </c>
      <c r="I12" s="8">
        <v>1</v>
      </c>
      <c r="J12" s="8">
        <v>0</v>
      </c>
      <c r="K12" s="8">
        <v>0.5</v>
      </c>
      <c r="L12" s="8">
        <v>1.5</v>
      </c>
      <c r="M12" s="8">
        <v>1</v>
      </c>
      <c r="N12" s="8">
        <v>2</v>
      </c>
      <c r="O12" s="8">
        <v>0.5</v>
      </c>
      <c r="P12" s="8">
        <f t="shared" si="0"/>
        <v>11.5</v>
      </c>
      <c r="Q12" s="11">
        <f t="shared" si="1"/>
        <v>0.47916666666666669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5" ht="15.75" customHeight="1" x14ac:dyDescent="0.2">
      <c r="A13" s="2">
        <v>1682</v>
      </c>
      <c r="B13" s="3" t="s">
        <v>27</v>
      </c>
      <c r="C13" s="13">
        <v>45869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</v>
      </c>
      <c r="J13" s="8">
        <v>0</v>
      </c>
      <c r="K13" s="8">
        <v>2</v>
      </c>
      <c r="L13" s="8">
        <v>0.5</v>
      </c>
      <c r="M13" s="8">
        <v>0</v>
      </c>
      <c r="N13" s="8">
        <v>1.5</v>
      </c>
      <c r="O13" s="8">
        <v>0</v>
      </c>
      <c r="P13" s="8">
        <f t="shared" si="0"/>
        <v>6</v>
      </c>
      <c r="Q13" s="11">
        <f t="shared" si="1"/>
        <v>0.25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5" ht="15.75" customHeight="1" x14ac:dyDescent="0.2">
      <c r="A14" s="2">
        <v>1717</v>
      </c>
      <c r="B14" s="3" t="s">
        <v>28</v>
      </c>
      <c r="C14" s="13">
        <v>45900</v>
      </c>
      <c r="D14" s="8">
        <v>2</v>
      </c>
      <c r="E14" s="8">
        <v>0.5</v>
      </c>
      <c r="F14" s="8">
        <v>1.5</v>
      </c>
      <c r="G14" s="8">
        <v>0.5</v>
      </c>
      <c r="H14" s="8">
        <v>1</v>
      </c>
      <c r="I14" s="8">
        <v>1</v>
      </c>
      <c r="J14" s="8">
        <v>0</v>
      </c>
      <c r="K14" s="8">
        <v>2</v>
      </c>
      <c r="L14" s="8">
        <v>0.5</v>
      </c>
      <c r="M14" s="8">
        <v>1</v>
      </c>
      <c r="N14" s="8">
        <v>0</v>
      </c>
      <c r="O14" s="8">
        <v>0</v>
      </c>
      <c r="P14" s="8">
        <f t="shared" si="0"/>
        <v>10</v>
      </c>
      <c r="Q14" s="11">
        <f t="shared" si="1"/>
        <v>0.41666666666666669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5" ht="15.75" customHeight="1" x14ac:dyDescent="0.2">
      <c r="A15" s="2">
        <v>1729</v>
      </c>
      <c r="B15" s="3" t="s">
        <v>29</v>
      </c>
      <c r="C15" s="13">
        <v>45854</v>
      </c>
      <c r="D15" s="8">
        <v>2</v>
      </c>
      <c r="E15" s="8">
        <v>1</v>
      </c>
      <c r="F15" s="8">
        <v>1.5</v>
      </c>
      <c r="G15" s="8">
        <v>0.5</v>
      </c>
      <c r="H15" s="8">
        <v>1.5</v>
      </c>
      <c r="I15" s="8">
        <v>2</v>
      </c>
      <c r="J15" s="8">
        <v>0</v>
      </c>
      <c r="K15" s="8">
        <v>1.5</v>
      </c>
      <c r="L15" s="8">
        <v>2</v>
      </c>
      <c r="M15" s="8">
        <v>2</v>
      </c>
      <c r="N15" s="8">
        <v>0.5</v>
      </c>
      <c r="O15" s="8">
        <v>2</v>
      </c>
      <c r="P15" s="8">
        <f t="shared" si="0"/>
        <v>16.5</v>
      </c>
      <c r="Q15" s="11">
        <f t="shared" si="1"/>
        <v>0.6875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5" ht="15.75" customHeight="1" x14ac:dyDescent="0.2">
      <c r="A16" s="2">
        <v>1731</v>
      </c>
      <c r="B16" s="3" t="s">
        <v>30</v>
      </c>
      <c r="C16" s="13">
        <v>45926</v>
      </c>
      <c r="D16" s="8">
        <v>1</v>
      </c>
      <c r="E16" s="8">
        <v>0.5</v>
      </c>
      <c r="F16" s="8">
        <v>1</v>
      </c>
      <c r="G16" s="8">
        <v>0.5</v>
      </c>
      <c r="H16" s="8">
        <v>0.5</v>
      </c>
      <c r="I16" s="8">
        <v>1</v>
      </c>
      <c r="J16" s="8">
        <v>0</v>
      </c>
      <c r="K16" s="8">
        <v>1.5</v>
      </c>
      <c r="L16" s="8">
        <v>0.5</v>
      </c>
      <c r="M16" s="8">
        <v>1.5</v>
      </c>
      <c r="N16" s="8">
        <v>1</v>
      </c>
      <c r="O16" s="8">
        <v>0.5</v>
      </c>
      <c r="P16" s="8">
        <f t="shared" si="0"/>
        <v>9.5</v>
      </c>
      <c r="Q16" s="11">
        <f t="shared" si="1"/>
        <v>0.39583333333333331</v>
      </c>
    </row>
    <row r="17" spans="1:34" ht="15.75" customHeight="1" x14ac:dyDescent="0.2">
      <c r="A17" s="2">
        <v>1732</v>
      </c>
      <c r="B17" s="3" t="s">
        <v>31</v>
      </c>
      <c r="C17" s="13">
        <v>45868</v>
      </c>
      <c r="D17" s="8">
        <v>2</v>
      </c>
      <c r="E17" s="8">
        <v>0.5</v>
      </c>
      <c r="F17" s="8">
        <v>1.5</v>
      </c>
      <c r="G17" s="8">
        <v>0.5</v>
      </c>
      <c r="H17" s="8">
        <v>1.5</v>
      </c>
      <c r="I17" s="8">
        <v>1</v>
      </c>
      <c r="J17" s="8">
        <v>0.5</v>
      </c>
      <c r="K17" s="8">
        <v>1.5</v>
      </c>
      <c r="L17" s="8">
        <v>0.5</v>
      </c>
      <c r="M17" s="8">
        <v>1.5</v>
      </c>
      <c r="N17" s="8">
        <v>2</v>
      </c>
      <c r="O17" s="8">
        <v>1</v>
      </c>
      <c r="P17" s="8">
        <f t="shared" si="0"/>
        <v>14</v>
      </c>
      <c r="Q17" s="11">
        <f t="shared" si="1"/>
        <v>0.58333333333333337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customHeight="1" x14ac:dyDescent="0.2">
      <c r="A18" s="12">
        <v>1743</v>
      </c>
      <c r="B18" s="3" t="s">
        <v>56</v>
      </c>
      <c r="C18" s="13">
        <v>45858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0</v>
      </c>
      <c r="K18" s="8">
        <v>2</v>
      </c>
      <c r="L18" s="8">
        <v>0</v>
      </c>
      <c r="M18" s="8">
        <v>0</v>
      </c>
      <c r="N18" s="8">
        <v>1.5</v>
      </c>
      <c r="O18" s="8">
        <v>0</v>
      </c>
      <c r="P18" s="8">
        <f t="shared" si="0"/>
        <v>5.5</v>
      </c>
      <c r="Q18" s="11">
        <f t="shared" si="1"/>
        <v>0.22916666666666666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customHeight="1" x14ac:dyDescent="0.2">
      <c r="A19" s="2">
        <v>1774</v>
      </c>
      <c r="B19" s="3" t="s">
        <v>32</v>
      </c>
      <c r="C19" s="13">
        <v>45896</v>
      </c>
      <c r="D19" s="8">
        <v>0</v>
      </c>
      <c r="E19" s="8">
        <v>0</v>
      </c>
      <c r="F19" s="8">
        <v>0</v>
      </c>
      <c r="G19" s="8">
        <v>0</v>
      </c>
      <c r="H19" s="8">
        <v>2</v>
      </c>
      <c r="I19" s="8">
        <v>2</v>
      </c>
      <c r="J19" s="8">
        <v>0</v>
      </c>
      <c r="K19" s="8">
        <v>2</v>
      </c>
      <c r="L19" s="8">
        <v>0.5</v>
      </c>
      <c r="M19" s="8">
        <v>0</v>
      </c>
      <c r="N19" s="8">
        <v>2</v>
      </c>
      <c r="O19" s="8">
        <v>0.5</v>
      </c>
      <c r="P19" s="8">
        <f t="shared" si="0"/>
        <v>9</v>
      </c>
      <c r="Q19" s="11">
        <f t="shared" si="1"/>
        <v>0.375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customHeight="1" x14ac:dyDescent="0.2">
      <c r="A20" s="2">
        <v>1785</v>
      </c>
      <c r="B20" s="3" t="s">
        <v>33</v>
      </c>
      <c r="C20" s="13">
        <v>45911</v>
      </c>
      <c r="D20" s="8">
        <v>2</v>
      </c>
      <c r="E20" s="8">
        <v>0.5</v>
      </c>
      <c r="F20" s="8">
        <v>1</v>
      </c>
      <c r="G20" s="8">
        <v>0</v>
      </c>
      <c r="H20" s="8">
        <v>0.5</v>
      </c>
      <c r="I20" s="8">
        <v>1</v>
      </c>
      <c r="J20" s="8">
        <v>0</v>
      </c>
      <c r="K20" s="8">
        <v>2</v>
      </c>
      <c r="L20" s="8">
        <v>0.5</v>
      </c>
      <c r="M20" s="8">
        <v>0</v>
      </c>
      <c r="N20" s="8">
        <v>2</v>
      </c>
      <c r="O20" s="8">
        <v>0</v>
      </c>
      <c r="P20" s="8">
        <f t="shared" si="0"/>
        <v>9.5</v>
      </c>
      <c r="Q20" s="11">
        <f t="shared" si="1"/>
        <v>0.39583333333333331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customHeight="1" x14ac:dyDescent="0.2">
      <c r="A21" s="2">
        <v>1857</v>
      </c>
      <c r="B21" s="3" t="s">
        <v>34</v>
      </c>
      <c r="C21" s="13">
        <v>45842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1.5</v>
      </c>
      <c r="L21" s="8">
        <v>0.5</v>
      </c>
      <c r="M21" s="8">
        <v>0</v>
      </c>
      <c r="N21" s="8">
        <v>2</v>
      </c>
      <c r="O21" s="8">
        <v>0</v>
      </c>
      <c r="P21" s="8">
        <f t="shared" si="0"/>
        <v>4</v>
      </c>
      <c r="Q21" s="11">
        <f t="shared" si="1"/>
        <v>0.16666666666666666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customHeight="1" x14ac:dyDescent="0.2">
      <c r="A22" s="2">
        <v>1867</v>
      </c>
      <c r="B22" s="3" t="s">
        <v>35</v>
      </c>
      <c r="C22" s="13">
        <v>45828</v>
      </c>
      <c r="D22" s="8">
        <v>2</v>
      </c>
      <c r="E22" s="8">
        <v>0</v>
      </c>
      <c r="F22" s="8">
        <v>2</v>
      </c>
      <c r="G22" s="8">
        <v>1</v>
      </c>
      <c r="H22" s="8">
        <v>2</v>
      </c>
      <c r="I22" s="8">
        <v>2</v>
      </c>
      <c r="J22" s="8">
        <v>1</v>
      </c>
      <c r="K22" s="8">
        <v>1</v>
      </c>
      <c r="L22" s="8">
        <v>1</v>
      </c>
      <c r="M22" s="8">
        <v>1.5</v>
      </c>
      <c r="N22" s="8">
        <v>0</v>
      </c>
      <c r="O22" s="8">
        <v>2</v>
      </c>
      <c r="P22" s="8">
        <f t="shared" si="0"/>
        <v>15.5</v>
      </c>
      <c r="Q22" s="11">
        <f t="shared" si="1"/>
        <v>0.64583333333333337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customHeight="1" x14ac:dyDescent="0.2">
      <c r="A23" s="2">
        <v>1869</v>
      </c>
      <c r="B23" s="3" t="s">
        <v>36</v>
      </c>
      <c r="C23" s="13">
        <v>45855</v>
      </c>
      <c r="D23" s="8">
        <v>2</v>
      </c>
      <c r="E23" s="8">
        <v>0</v>
      </c>
      <c r="F23" s="8">
        <v>2</v>
      </c>
      <c r="G23" s="8">
        <v>0</v>
      </c>
      <c r="H23" s="8">
        <v>1</v>
      </c>
      <c r="I23" s="8">
        <v>1</v>
      </c>
      <c r="J23" s="8">
        <v>0.5</v>
      </c>
      <c r="K23" s="8">
        <v>1</v>
      </c>
      <c r="L23" s="8">
        <v>1</v>
      </c>
      <c r="M23" s="8">
        <v>1.5</v>
      </c>
      <c r="N23" s="8">
        <v>1</v>
      </c>
      <c r="O23" s="8">
        <v>2</v>
      </c>
      <c r="P23" s="8">
        <f t="shared" si="0"/>
        <v>13</v>
      </c>
      <c r="Q23" s="11">
        <f t="shared" si="1"/>
        <v>0.54166666666666663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customHeight="1" x14ac:dyDescent="0.2">
      <c r="A24" s="2">
        <v>1870</v>
      </c>
      <c r="B24" s="3" t="s">
        <v>37</v>
      </c>
      <c r="C24" s="13">
        <v>45845</v>
      </c>
      <c r="D24" s="8">
        <v>2</v>
      </c>
      <c r="E24" s="8">
        <v>1</v>
      </c>
      <c r="F24" s="8">
        <v>1</v>
      </c>
      <c r="G24" s="8">
        <v>0</v>
      </c>
      <c r="H24" s="8">
        <v>1</v>
      </c>
      <c r="I24" s="8">
        <v>2</v>
      </c>
      <c r="J24" s="8">
        <v>1</v>
      </c>
      <c r="K24" s="8">
        <v>1</v>
      </c>
      <c r="L24" s="8">
        <v>2</v>
      </c>
      <c r="M24" s="8">
        <v>1.5</v>
      </c>
      <c r="N24" s="8">
        <v>0.5</v>
      </c>
      <c r="O24" s="8">
        <v>2</v>
      </c>
      <c r="P24" s="8">
        <f t="shared" si="0"/>
        <v>15</v>
      </c>
      <c r="Q24" s="11">
        <f t="shared" si="1"/>
        <v>0.625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customHeight="1" x14ac:dyDescent="0.2">
      <c r="A25" s="2">
        <v>1871</v>
      </c>
      <c r="B25" s="3" t="s">
        <v>38</v>
      </c>
      <c r="C25" s="13">
        <v>45855</v>
      </c>
      <c r="D25" s="8">
        <v>2</v>
      </c>
      <c r="E25" s="8">
        <v>0.5</v>
      </c>
      <c r="F25" s="8">
        <v>2</v>
      </c>
      <c r="G25" s="8">
        <v>0</v>
      </c>
      <c r="H25" s="8">
        <v>1</v>
      </c>
      <c r="I25" s="8">
        <v>2</v>
      </c>
      <c r="J25" s="8">
        <v>0</v>
      </c>
      <c r="K25" s="8">
        <v>2</v>
      </c>
      <c r="L25" s="8">
        <v>1.5</v>
      </c>
      <c r="M25" s="8">
        <v>2</v>
      </c>
      <c r="N25" s="8">
        <v>2</v>
      </c>
      <c r="O25" s="8">
        <v>2</v>
      </c>
      <c r="P25" s="8">
        <f t="shared" si="0"/>
        <v>17</v>
      </c>
      <c r="Q25" s="11">
        <f t="shared" si="1"/>
        <v>0.70833333333333337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customHeight="1" x14ac:dyDescent="0.2">
      <c r="A26" s="2">
        <v>1872</v>
      </c>
      <c r="B26" s="3" t="s">
        <v>39</v>
      </c>
      <c r="C26" s="13">
        <v>45843</v>
      </c>
      <c r="D26" s="8">
        <v>2</v>
      </c>
      <c r="E26" s="8">
        <v>0.5</v>
      </c>
      <c r="F26" s="8">
        <v>1</v>
      </c>
      <c r="G26" s="8">
        <v>0</v>
      </c>
      <c r="H26" s="8">
        <v>1.5</v>
      </c>
      <c r="I26" s="8">
        <v>1</v>
      </c>
      <c r="J26" s="8">
        <v>0</v>
      </c>
      <c r="K26" s="8">
        <v>1</v>
      </c>
      <c r="L26" s="8">
        <v>1</v>
      </c>
      <c r="M26" s="8">
        <v>1.5</v>
      </c>
      <c r="N26" s="8">
        <v>1.5</v>
      </c>
      <c r="O26" s="8">
        <v>2</v>
      </c>
      <c r="P26" s="8">
        <f t="shared" si="0"/>
        <v>13</v>
      </c>
      <c r="Q26" s="11">
        <f t="shared" si="1"/>
        <v>0.54166666666666663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customHeight="1" x14ac:dyDescent="0.2">
      <c r="A27" s="2">
        <v>1874</v>
      </c>
      <c r="B27" s="3" t="s">
        <v>40</v>
      </c>
      <c r="C27" s="13">
        <v>45844</v>
      </c>
      <c r="D27" s="8">
        <v>2</v>
      </c>
      <c r="E27" s="8">
        <v>1</v>
      </c>
      <c r="F27" s="8">
        <v>1.5</v>
      </c>
      <c r="G27" s="8">
        <v>2</v>
      </c>
      <c r="H27" s="8">
        <v>2</v>
      </c>
      <c r="I27" s="8">
        <v>2</v>
      </c>
      <c r="J27" s="8">
        <v>0.5</v>
      </c>
      <c r="K27" s="8">
        <v>1.5</v>
      </c>
      <c r="L27" s="8">
        <v>1.5</v>
      </c>
      <c r="M27" s="8">
        <v>0</v>
      </c>
      <c r="N27" s="8">
        <v>0.5</v>
      </c>
      <c r="O27" s="8">
        <v>2</v>
      </c>
      <c r="P27" s="8">
        <f t="shared" si="0"/>
        <v>16.5</v>
      </c>
      <c r="Q27" s="11">
        <f t="shared" si="1"/>
        <v>0.6875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customHeight="1" x14ac:dyDescent="0.2">
      <c r="A28" s="2">
        <v>1875</v>
      </c>
      <c r="B28" s="3" t="s">
        <v>41</v>
      </c>
      <c r="C28" s="13">
        <v>45846</v>
      </c>
      <c r="D28" s="8">
        <v>2</v>
      </c>
      <c r="E28" s="8">
        <v>0</v>
      </c>
      <c r="F28" s="8">
        <v>1</v>
      </c>
      <c r="G28" s="8">
        <v>0.5</v>
      </c>
      <c r="H28" s="8">
        <v>0</v>
      </c>
      <c r="I28" s="8">
        <v>2</v>
      </c>
      <c r="J28" s="8">
        <v>0.5</v>
      </c>
      <c r="K28" s="8">
        <v>1.5</v>
      </c>
      <c r="L28" s="8">
        <v>0.5</v>
      </c>
      <c r="M28" s="8">
        <v>0</v>
      </c>
      <c r="N28" s="8">
        <v>1</v>
      </c>
      <c r="O28" s="8">
        <v>1.5</v>
      </c>
      <c r="P28" s="8">
        <f t="shared" si="0"/>
        <v>10.5</v>
      </c>
      <c r="Q28" s="11">
        <f t="shared" si="1"/>
        <v>0.4375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customHeight="1" x14ac:dyDescent="0.2">
      <c r="A29" s="2">
        <v>1897</v>
      </c>
      <c r="B29" s="3" t="s">
        <v>42</v>
      </c>
      <c r="C29" s="13">
        <v>45871</v>
      </c>
      <c r="D29" s="8">
        <v>2</v>
      </c>
      <c r="E29" s="8">
        <v>0</v>
      </c>
      <c r="F29" s="8">
        <v>0</v>
      </c>
      <c r="G29" s="8">
        <v>0</v>
      </c>
      <c r="H29" s="8">
        <v>0</v>
      </c>
      <c r="I29" s="8">
        <v>2</v>
      </c>
      <c r="J29" s="8">
        <v>0</v>
      </c>
      <c r="K29" s="8">
        <v>2</v>
      </c>
      <c r="L29" s="8">
        <v>2</v>
      </c>
      <c r="M29" s="8">
        <v>2</v>
      </c>
      <c r="N29" s="8">
        <v>2</v>
      </c>
      <c r="O29" s="8">
        <v>0.5</v>
      </c>
      <c r="P29" s="8">
        <f t="shared" si="0"/>
        <v>12.5</v>
      </c>
      <c r="Q29" s="11">
        <f t="shared" si="1"/>
        <v>0.52083333333333337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customHeight="1" x14ac:dyDescent="0.2">
      <c r="A30" s="2">
        <v>1911</v>
      </c>
      <c r="B30" s="3" t="s">
        <v>43</v>
      </c>
      <c r="C30" s="13">
        <v>45831</v>
      </c>
      <c r="D30" s="8">
        <v>2</v>
      </c>
      <c r="E30" s="8">
        <v>0</v>
      </c>
      <c r="F30" s="8">
        <v>2</v>
      </c>
      <c r="G30" s="8">
        <v>1</v>
      </c>
      <c r="H30" s="8">
        <v>0.5</v>
      </c>
      <c r="I30" s="8">
        <v>0</v>
      </c>
      <c r="J30" s="8">
        <v>0.5</v>
      </c>
      <c r="K30" s="8">
        <v>1.5</v>
      </c>
      <c r="L30" s="8">
        <v>1.5</v>
      </c>
      <c r="M30" s="8">
        <v>1</v>
      </c>
      <c r="N30" s="8">
        <v>2</v>
      </c>
      <c r="O30" s="8">
        <v>1.5</v>
      </c>
      <c r="P30" s="8">
        <f t="shared" si="0"/>
        <v>13.5</v>
      </c>
      <c r="Q30" s="11">
        <f t="shared" si="1"/>
        <v>0.5625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customHeight="1" x14ac:dyDescent="0.2">
      <c r="A31" s="2">
        <v>1912</v>
      </c>
      <c r="B31" s="3" t="s">
        <v>44</v>
      </c>
      <c r="C31" s="13">
        <v>45857</v>
      </c>
      <c r="D31" s="8">
        <v>2</v>
      </c>
      <c r="E31" s="8">
        <v>0</v>
      </c>
      <c r="F31" s="8">
        <v>1.5</v>
      </c>
      <c r="G31" s="8">
        <v>2</v>
      </c>
      <c r="H31" s="8">
        <v>0.5</v>
      </c>
      <c r="I31" s="8">
        <v>2</v>
      </c>
      <c r="J31" s="8">
        <v>2</v>
      </c>
      <c r="K31" s="8">
        <v>2</v>
      </c>
      <c r="L31" s="8">
        <v>0.5</v>
      </c>
      <c r="M31" s="8">
        <v>0</v>
      </c>
      <c r="N31" s="8">
        <v>1</v>
      </c>
      <c r="O31" s="8">
        <v>0</v>
      </c>
      <c r="P31" s="8">
        <f t="shared" si="0"/>
        <v>13.5</v>
      </c>
      <c r="Q31" s="11">
        <f t="shared" si="1"/>
        <v>0.5625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customHeight="1" x14ac:dyDescent="0.2">
      <c r="A32" s="2">
        <v>1915</v>
      </c>
      <c r="B32" s="3" t="s">
        <v>45</v>
      </c>
      <c r="C32" s="13">
        <v>45869</v>
      </c>
      <c r="D32" s="8">
        <v>2</v>
      </c>
      <c r="E32" s="8">
        <v>0</v>
      </c>
      <c r="F32" s="8">
        <v>0.5</v>
      </c>
      <c r="G32" s="8">
        <v>2</v>
      </c>
      <c r="H32" s="8">
        <v>0</v>
      </c>
      <c r="I32" s="8">
        <v>2</v>
      </c>
      <c r="J32" s="8">
        <v>0.5</v>
      </c>
      <c r="K32" s="8">
        <v>1</v>
      </c>
      <c r="L32" s="8">
        <v>2</v>
      </c>
      <c r="M32" s="8">
        <v>1.5</v>
      </c>
      <c r="N32" s="8">
        <v>1</v>
      </c>
      <c r="O32" s="8">
        <v>0.5</v>
      </c>
      <c r="P32" s="8">
        <f t="shared" si="0"/>
        <v>13</v>
      </c>
      <c r="Q32" s="11">
        <f t="shared" si="1"/>
        <v>0.54166666666666663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customHeight="1" x14ac:dyDescent="0.2">
      <c r="A33" s="2">
        <v>1916</v>
      </c>
      <c r="B33" s="3" t="s">
        <v>46</v>
      </c>
      <c r="C33" s="13">
        <v>45896</v>
      </c>
      <c r="D33" s="8">
        <v>2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1.5</v>
      </c>
      <c r="L33" s="8">
        <v>2</v>
      </c>
      <c r="M33" s="8">
        <v>1.5</v>
      </c>
      <c r="N33" s="8">
        <v>1.5</v>
      </c>
      <c r="O33" s="8">
        <v>0.5</v>
      </c>
      <c r="P33" s="8">
        <f t="shared" si="0"/>
        <v>9</v>
      </c>
      <c r="Q33" s="11">
        <f t="shared" si="1"/>
        <v>0.375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customHeight="1" x14ac:dyDescent="0.2">
      <c r="A34" s="2">
        <v>1917</v>
      </c>
      <c r="B34" s="3" t="s">
        <v>47</v>
      </c>
      <c r="C34" s="13">
        <v>45881</v>
      </c>
      <c r="D34" s="8">
        <v>2</v>
      </c>
      <c r="E34" s="8">
        <v>0</v>
      </c>
      <c r="F34" s="8">
        <v>1.5</v>
      </c>
      <c r="G34" s="8">
        <v>1</v>
      </c>
      <c r="H34" s="8">
        <v>1</v>
      </c>
      <c r="I34" s="8">
        <v>1</v>
      </c>
      <c r="J34" s="8">
        <v>0</v>
      </c>
      <c r="K34" s="8">
        <v>1</v>
      </c>
      <c r="L34" s="8">
        <v>2</v>
      </c>
      <c r="M34" s="8">
        <v>2</v>
      </c>
      <c r="N34" s="8">
        <v>1</v>
      </c>
      <c r="O34" s="8">
        <v>0.5</v>
      </c>
      <c r="P34" s="8">
        <f t="shared" si="0"/>
        <v>13</v>
      </c>
      <c r="Q34" s="11">
        <f t="shared" si="1"/>
        <v>0.54166666666666663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customHeight="1" x14ac:dyDescent="0.2">
      <c r="A35" s="2">
        <v>1931</v>
      </c>
      <c r="B35" s="3" t="s">
        <v>48</v>
      </c>
      <c r="C35" s="13">
        <v>45870</v>
      </c>
      <c r="D35" s="8">
        <v>2</v>
      </c>
      <c r="E35" s="8">
        <v>0.5</v>
      </c>
      <c r="F35" s="8">
        <v>2</v>
      </c>
      <c r="G35" s="8">
        <v>2</v>
      </c>
      <c r="H35" s="8">
        <v>1.5</v>
      </c>
      <c r="I35" s="8">
        <v>1</v>
      </c>
      <c r="J35" s="8">
        <v>0</v>
      </c>
      <c r="K35" s="8">
        <v>1.5</v>
      </c>
      <c r="L35" s="8">
        <v>1</v>
      </c>
      <c r="M35" s="8">
        <v>1</v>
      </c>
      <c r="N35" s="8">
        <v>0.5</v>
      </c>
      <c r="O35" s="8">
        <v>1</v>
      </c>
      <c r="P35" s="8">
        <f t="shared" si="0"/>
        <v>14</v>
      </c>
      <c r="Q35" s="11">
        <f t="shared" si="1"/>
        <v>0.58333333333333337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customHeight="1" x14ac:dyDescent="0.2">
      <c r="A36" s="2">
        <v>1952</v>
      </c>
      <c r="B36" s="3" t="s">
        <v>49</v>
      </c>
      <c r="C36" s="13">
        <v>45882</v>
      </c>
      <c r="D36" s="8">
        <v>2</v>
      </c>
      <c r="E36" s="8">
        <v>0</v>
      </c>
      <c r="F36" s="8">
        <v>1.5</v>
      </c>
      <c r="G36" s="8">
        <v>0</v>
      </c>
      <c r="H36" s="8">
        <v>0</v>
      </c>
      <c r="I36" s="8">
        <v>2</v>
      </c>
      <c r="J36" s="8">
        <v>0</v>
      </c>
      <c r="K36" s="8">
        <v>1.5</v>
      </c>
      <c r="L36" s="8">
        <v>1.5</v>
      </c>
      <c r="M36" s="8">
        <v>1.5</v>
      </c>
      <c r="N36" s="8">
        <v>1.5</v>
      </c>
      <c r="O36" s="8">
        <v>0</v>
      </c>
      <c r="P36" s="8">
        <f t="shared" si="0"/>
        <v>11.5</v>
      </c>
      <c r="Q36" s="11">
        <f t="shared" si="1"/>
        <v>0.47916666666666669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customHeight="1" x14ac:dyDescent="0.2">
      <c r="A37" s="2">
        <v>1960</v>
      </c>
      <c r="B37" s="3" t="s">
        <v>50</v>
      </c>
      <c r="C37" s="13">
        <v>45910</v>
      </c>
      <c r="D37" s="8">
        <v>2</v>
      </c>
      <c r="E37" s="8">
        <v>0</v>
      </c>
      <c r="F37" s="8"/>
      <c r="G37" s="8">
        <v>0</v>
      </c>
      <c r="H37" s="8">
        <v>0</v>
      </c>
      <c r="I37" s="8">
        <v>0</v>
      </c>
      <c r="J37" s="8">
        <v>0</v>
      </c>
      <c r="K37" s="8">
        <v>1.5</v>
      </c>
      <c r="L37" s="8">
        <v>0.5</v>
      </c>
      <c r="M37" s="8">
        <v>0</v>
      </c>
      <c r="N37" s="8">
        <v>1.5</v>
      </c>
      <c r="O37" s="8">
        <v>0</v>
      </c>
      <c r="P37" s="8">
        <f t="shared" si="0"/>
        <v>5.5</v>
      </c>
      <c r="Q37" s="11">
        <f t="shared" si="1"/>
        <v>0.22916666666666666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customHeight="1" x14ac:dyDescent="0.2">
      <c r="A38" s="2">
        <v>1961</v>
      </c>
      <c r="B38" s="3" t="s">
        <v>51</v>
      </c>
      <c r="C38" s="13">
        <v>45884</v>
      </c>
      <c r="D38" s="8">
        <v>2</v>
      </c>
      <c r="E38" s="8">
        <v>0</v>
      </c>
      <c r="F38" s="8">
        <v>1.5</v>
      </c>
      <c r="G38" s="8">
        <v>0.5</v>
      </c>
      <c r="H38" s="8">
        <v>2</v>
      </c>
      <c r="I38" s="8">
        <v>1</v>
      </c>
      <c r="J38" s="8">
        <v>0</v>
      </c>
      <c r="K38" s="8">
        <v>0.5</v>
      </c>
      <c r="L38" s="8">
        <v>2</v>
      </c>
      <c r="M38" s="8">
        <v>1.5</v>
      </c>
      <c r="N38" s="8">
        <v>1</v>
      </c>
      <c r="O38" s="8">
        <v>2</v>
      </c>
      <c r="P38" s="8">
        <f t="shared" si="0"/>
        <v>14</v>
      </c>
      <c r="Q38" s="11">
        <f t="shared" si="1"/>
        <v>0.58333333333333337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customHeight="1" x14ac:dyDescent="0.2">
      <c r="A39" s="2">
        <v>1962</v>
      </c>
      <c r="B39" s="3" t="s">
        <v>52</v>
      </c>
      <c r="C39" s="13">
        <v>45884</v>
      </c>
      <c r="D39" s="8">
        <v>2</v>
      </c>
      <c r="E39" s="8">
        <v>0</v>
      </c>
      <c r="F39" s="8">
        <v>2</v>
      </c>
      <c r="G39" s="8">
        <v>0</v>
      </c>
      <c r="H39" s="8">
        <v>1.5</v>
      </c>
      <c r="I39" s="8">
        <v>0</v>
      </c>
      <c r="J39" s="8">
        <v>0</v>
      </c>
      <c r="K39" s="8">
        <v>0.5</v>
      </c>
      <c r="L39" s="8">
        <v>2</v>
      </c>
      <c r="M39" s="8">
        <v>2</v>
      </c>
      <c r="N39" s="8">
        <v>1</v>
      </c>
      <c r="O39" s="8">
        <v>2</v>
      </c>
      <c r="P39" s="8">
        <f t="shared" si="0"/>
        <v>13</v>
      </c>
      <c r="Q39" s="11">
        <f t="shared" si="1"/>
        <v>0.54166666666666663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customHeight="1" x14ac:dyDescent="0.2">
      <c r="A40" s="2">
        <v>1964</v>
      </c>
      <c r="B40" s="3" t="s">
        <v>53</v>
      </c>
      <c r="C40" s="13">
        <v>45885</v>
      </c>
      <c r="D40" s="8">
        <v>2</v>
      </c>
      <c r="E40" s="8">
        <v>1</v>
      </c>
      <c r="F40" s="8">
        <v>2</v>
      </c>
      <c r="G40" s="8">
        <v>0</v>
      </c>
      <c r="H40" s="8">
        <v>2</v>
      </c>
      <c r="I40" s="8">
        <v>1</v>
      </c>
      <c r="J40" s="8">
        <v>0</v>
      </c>
      <c r="K40" s="8">
        <v>1</v>
      </c>
      <c r="L40" s="8">
        <v>1.5</v>
      </c>
      <c r="M40" s="8">
        <v>2</v>
      </c>
      <c r="N40" s="8">
        <v>0.5</v>
      </c>
      <c r="O40" s="8">
        <v>1</v>
      </c>
      <c r="P40" s="8">
        <f t="shared" si="0"/>
        <v>14</v>
      </c>
      <c r="Q40" s="11">
        <f t="shared" si="1"/>
        <v>0.58333333333333337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customHeight="1" x14ac:dyDescent="0.2">
      <c r="A41" s="2">
        <v>1965</v>
      </c>
      <c r="B41" s="3" t="s">
        <v>54</v>
      </c>
      <c r="C41" s="13">
        <v>45897</v>
      </c>
      <c r="D41" s="8">
        <v>2</v>
      </c>
      <c r="E41" s="8">
        <v>0</v>
      </c>
      <c r="F41" s="8">
        <v>0.5</v>
      </c>
      <c r="G41" s="8">
        <v>0</v>
      </c>
      <c r="H41" s="8">
        <v>2</v>
      </c>
      <c r="I41" s="8">
        <v>2</v>
      </c>
      <c r="J41" s="8">
        <v>0</v>
      </c>
      <c r="K41" s="8">
        <v>0</v>
      </c>
      <c r="L41" s="8">
        <v>0.5</v>
      </c>
      <c r="M41" s="8">
        <v>0</v>
      </c>
      <c r="N41" s="8">
        <v>1</v>
      </c>
      <c r="O41" s="8">
        <v>0.5</v>
      </c>
      <c r="P41" s="8">
        <f t="shared" si="0"/>
        <v>8.5</v>
      </c>
      <c r="Q41" s="11">
        <f t="shared" si="1"/>
        <v>0.35416666666666669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customHeight="1" x14ac:dyDescent="0.2">
      <c r="A42" s="2">
        <v>1966</v>
      </c>
      <c r="B42" s="3" t="s">
        <v>55</v>
      </c>
      <c r="C42" s="13">
        <v>45898</v>
      </c>
      <c r="D42" s="8">
        <v>0</v>
      </c>
      <c r="E42" s="8">
        <v>0</v>
      </c>
      <c r="F42" s="8">
        <v>0</v>
      </c>
      <c r="G42" s="8">
        <v>0</v>
      </c>
      <c r="H42" s="8">
        <v>1</v>
      </c>
      <c r="I42" s="8">
        <v>1</v>
      </c>
      <c r="J42" s="8">
        <v>0</v>
      </c>
      <c r="K42" s="8">
        <v>1.5</v>
      </c>
      <c r="L42" s="8">
        <v>0.5</v>
      </c>
      <c r="M42" s="8">
        <v>0</v>
      </c>
      <c r="N42" s="8">
        <v>2</v>
      </c>
      <c r="O42" s="8">
        <v>0.5</v>
      </c>
      <c r="P42" s="8">
        <f t="shared" si="0"/>
        <v>6.5</v>
      </c>
      <c r="Q42" s="11">
        <f t="shared" si="1"/>
        <v>0.27083333333333331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</sheetData>
  <autoFilter ref="A1:Q42" xr:uid="{06A8616E-C37E-455D-B556-1DF4446BCEE3}">
    <sortState xmlns:xlrd2="http://schemas.microsoft.com/office/spreadsheetml/2017/richdata2" ref="A2:Q42">
      <sortCondition ref="A1:A42"/>
    </sortState>
  </autoFilter>
  <phoneticPr fontId="4" type="noConversion"/>
  <pageMargins left="0.25" right="0.25" top="0.75" bottom="0.75" header="0.3" footer="0.3"/>
  <pageSetup scale="3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BC2813AC80004186370D59BBD8E088" ma:contentTypeVersion="20" ma:contentTypeDescription="Create a new document." ma:contentTypeScope="" ma:versionID="3acae1a1b479dfc8666257355b56014a">
  <xsd:schema xmlns:xsd="http://www.w3.org/2001/XMLSchema" xmlns:xs="http://www.w3.org/2001/XMLSchema" xmlns:p="http://schemas.microsoft.com/office/2006/metadata/properties" xmlns:ns2="02860da2-2291-4489-8f26-b60e1da34419" xmlns:ns3="248d2302-19e1-4a68-b597-d5eb0aaf8959" targetNamespace="http://schemas.microsoft.com/office/2006/metadata/properties" ma:root="true" ma:fieldsID="11af91f69b4cf18aac0b95e3d19caf95" ns2:_="" ns3:_="">
    <xsd:import namespace="02860da2-2291-4489-8f26-b60e1da34419"/>
    <xsd:import namespace="248d2302-19e1-4a68-b597-d5eb0aaf8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ddtosurveyfor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60da2-2291-4489-8f26-b60e1da34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ddtosurveyform" ma:index="27" nillable="true" ma:displayName="Add to survey form" ma:format="Dropdown" ma:internalName="Addtosurveyform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d2302-19e1-4a68-b597-d5eb0aaf895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3281f-decb-4a71-b89f-9bdf91970408}" ma:internalName="TaxCatchAll" ma:showField="CatchAllData" ma:web="248d2302-19e1-4a68-b597-d5eb0aaf8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860da2-2291-4489-8f26-b60e1da34419">
      <Terms xmlns="http://schemas.microsoft.com/office/infopath/2007/PartnerControls"/>
    </lcf76f155ced4ddcb4097134ff3c332f>
    <TaxCatchAll xmlns="248d2302-19e1-4a68-b597-d5eb0aaf8959" xsi:nil="true"/>
    <Addtosurveyform xmlns="02860da2-2291-4489-8f26-b60e1da344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CB0183-0A21-4DF0-AF40-2A9C2313B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860da2-2291-4489-8f26-b60e1da34419"/>
    <ds:schemaRef ds:uri="248d2302-19e1-4a68-b597-d5eb0aaf8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BADAB4-2FC2-455F-84DD-F66F1D5B1CFC}">
  <ds:schemaRefs>
    <ds:schemaRef ds:uri="http://schemas.microsoft.com/office/2006/metadata/properties"/>
    <ds:schemaRef ds:uri="http://schemas.microsoft.com/office/infopath/2007/PartnerControls"/>
    <ds:schemaRef ds:uri="02860da2-2291-4489-8f26-b60e1da34419"/>
    <ds:schemaRef ds:uri="248d2302-19e1-4a68-b597-d5eb0aaf8959"/>
  </ds:schemaRefs>
</ds:datastoreItem>
</file>

<file path=customXml/itemProps3.xml><?xml version="1.0" encoding="utf-8"?>
<ds:datastoreItem xmlns:ds="http://schemas.openxmlformats.org/officeDocument/2006/customXml" ds:itemID="{1A769B87-2A24-4D32-98F1-0CE0999CDD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Knaggs,Luke</dc:creator>
  <cp:keywords/>
  <dc:description/>
  <cp:lastModifiedBy>Knaggs,Luke</cp:lastModifiedBy>
  <cp:revision/>
  <cp:lastPrinted>2025-07-29T18:01:22Z</cp:lastPrinted>
  <dcterms:created xsi:type="dcterms:W3CDTF">2025-05-29T20:47:55Z</dcterms:created>
  <dcterms:modified xsi:type="dcterms:W3CDTF">2026-05-04T15:32:03Z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0x01010042BC2813AC80004186370D59BBD8E088</vt:lpwstr>
  </property>
  <property fmtid="{D5CDD505-2E9C-101B-9397-08002B2CF9AE}" pid="3" name="MediaServiceImageTags">
    <vt:lpwstr/>
  </property>
</Properties>
</file>