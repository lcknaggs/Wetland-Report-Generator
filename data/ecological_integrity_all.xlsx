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426"/>
  <workbookPr defaultThemeVersion="124226"/>
  <mc:AlternateContent xmlns:mc="http://schemas.openxmlformats.org/markup-compatibility/2006">
    <mc:Choice Requires="x15">
      <x15ac:absPath xmlns:x15ac="http://schemas.microsoft.com/office/spreadsheetml/2010/11/ac" url="https://colostate-my.sharepoint.com/personal/c837977918_colostate_edu/Documents/Documents/R/2025_EIA_Wetland_Report_Generator/wetland_data/"/>
    </mc:Choice>
  </mc:AlternateContent>
  <xr:revisionPtr revIDLastSave="244" documentId="13_ncr:1_{2BA7AFA0-CDAA-4611-A0A3-F07520FC7030}" xr6:coauthVersionLast="47" xr6:coauthVersionMax="47" xr10:uidLastSave="{97F7DB43-F815-4908-9E7F-137C48DEC01B}"/>
  <bookViews>
    <workbookView xWindow="28680" yWindow="-120" windowWidth="29040" windowHeight="17520" tabRatio="715" xr2:uid="{00000000-000D-0000-FFFF-FFFF00000000}"/>
  </bookViews>
  <sheets>
    <sheet name="score_l_equations" sheetId="12" r:id="rId1"/>
    <sheet name="score_n_equations" sheetId="14" r:id="rId2"/>
    <sheet name="Template" sheetId="10" r:id="rId3"/>
  </sheets>
  <definedNames>
    <definedName name="_xlnm._FilterDatabase" localSheetId="0" hidden="1">score_l_equations!$A$2:$AE$43</definedName>
    <definedName name="_xlnm._FilterDatabase" localSheetId="1" hidden="1">score_n_equations!$A$2:$AE$43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4" i="14" l="1"/>
  <c r="G20" i="10" l="1"/>
  <c r="J3" i="14"/>
  <c r="O4" i="14"/>
  <c r="O5" i="14"/>
  <c r="O6" i="14"/>
  <c r="O7" i="14"/>
  <c r="O8" i="14"/>
  <c r="O9" i="14"/>
  <c r="O10" i="14"/>
  <c r="O11" i="14"/>
  <c r="O12" i="14"/>
  <c r="O13" i="14"/>
  <c r="O14" i="14"/>
  <c r="O15" i="14"/>
  <c r="O16" i="14"/>
  <c r="O17" i="14"/>
  <c r="O18" i="14"/>
  <c r="O19" i="14"/>
  <c r="O20" i="14"/>
  <c r="O21" i="14"/>
  <c r="O22" i="14"/>
  <c r="O23" i="14"/>
  <c r="O24" i="14"/>
  <c r="O25" i="14"/>
  <c r="O26" i="14"/>
  <c r="O27" i="14"/>
  <c r="O28" i="14"/>
  <c r="O29" i="14"/>
  <c r="O30" i="14"/>
  <c r="O31" i="14"/>
  <c r="O32" i="14"/>
  <c r="O33" i="14"/>
  <c r="O34" i="14"/>
  <c r="O35" i="14"/>
  <c r="O36" i="14"/>
  <c r="O37" i="14"/>
  <c r="O38" i="14"/>
  <c r="O39" i="14"/>
  <c r="O40" i="14"/>
  <c r="O41" i="14"/>
  <c r="O42" i="14"/>
  <c r="O43" i="14"/>
  <c r="N4" i="14"/>
  <c r="N5" i="14"/>
  <c r="N6" i="14"/>
  <c r="N7" i="14"/>
  <c r="N8" i="14"/>
  <c r="N9" i="14"/>
  <c r="N10" i="14"/>
  <c r="N11" i="14"/>
  <c r="N12" i="14"/>
  <c r="N13" i="14"/>
  <c r="N14" i="14"/>
  <c r="N15" i="14"/>
  <c r="N16" i="14"/>
  <c r="N17" i="14"/>
  <c r="N18" i="14"/>
  <c r="N19" i="14"/>
  <c r="N20" i="14"/>
  <c r="N21" i="14"/>
  <c r="N22" i="14"/>
  <c r="N23" i="14"/>
  <c r="N24" i="14"/>
  <c r="N25" i="14"/>
  <c r="N26" i="14"/>
  <c r="N27" i="14"/>
  <c r="N28" i="14"/>
  <c r="N29" i="14"/>
  <c r="N30" i="14"/>
  <c r="N31" i="14"/>
  <c r="N32" i="14"/>
  <c r="N33" i="14"/>
  <c r="N34" i="14"/>
  <c r="N35" i="14"/>
  <c r="N36" i="14"/>
  <c r="N37" i="14"/>
  <c r="N38" i="14"/>
  <c r="N39" i="14"/>
  <c r="N40" i="14"/>
  <c r="N41" i="14"/>
  <c r="N42" i="14"/>
  <c r="N43" i="14"/>
  <c r="O3" i="14"/>
  <c r="N3" i="14"/>
  <c r="E4" i="14"/>
  <c r="E5" i="14"/>
  <c r="E6" i="14"/>
  <c r="E7" i="14"/>
  <c r="E8" i="14"/>
  <c r="E9" i="14"/>
  <c r="E10" i="14"/>
  <c r="E11" i="14"/>
  <c r="E12" i="14"/>
  <c r="E13" i="14"/>
  <c r="E15" i="14"/>
  <c r="E16" i="14"/>
  <c r="E17" i="14"/>
  <c r="E18" i="14"/>
  <c r="E19" i="14"/>
  <c r="E20" i="14"/>
  <c r="E21" i="14"/>
  <c r="E22" i="14"/>
  <c r="E23" i="14"/>
  <c r="E24" i="14"/>
  <c r="E25" i="14"/>
  <c r="E26" i="14"/>
  <c r="E27" i="14"/>
  <c r="E28" i="14"/>
  <c r="E29" i="14"/>
  <c r="E30" i="14"/>
  <c r="E31" i="14"/>
  <c r="E32" i="14"/>
  <c r="E33" i="14"/>
  <c r="E34" i="14"/>
  <c r="E35" i="14"/>
  <c r="E36" i="14"/>
  <c r="E37" i="14"/>
  <c r="E38" i="14"/>
  <c r="E39" i="14"/>
  <c r="E40" i="14"/>
  <c r="E41" i="14"/>
  <c r="E42" i="14"/>
  <c r="E43" i="14"/>
  <c r="J4" i="14"/>
  <c r="K4" i="14"/>
  <c r="L4" i="14"/>
  <c r="M4" i="14"/>
  <c r="J5" i="14"/>
  <c r="K5" i="14"/>
  <c r="L5" i="14"/>
  <c r="M5" i="14"/>
  <c r="J6" i="14"/>
  <c r="K6" i="14"/>
  <c r="L6" i="14"/>
  <c r="M6" i="14"/>
  <c r="J7" i="14"/>
  <c r="K7" i="14"/>
  <c r="L7" i="14"/>
  <c r="M7" i="14"/>
  <c r="J8" i="14"/>
  <c r="K8" i="14"/>
  <c r="L8" i="14"/>
  <c r="M8" i="14"/>
  <c r="J9" i="14"/>
  <c r="K9" i="14"/>
  <c r="L9" i="14"/>
  <c r="M9" i="14"/>
  <c r="J10" i="14"/>
  <c r="K10" i="14"/>
  <c r="L10" i="14"/>
  <c r="M10" i="14"/>
  <c r="J11" i="14"/>
  <c r="K11" i="14"/>
  <c r="L11" i="14"/>
  <c r="M11" i="14"/>
  <c r="J12" i="14"/>
  <c r="K12" i="14"/>
  <c r="L12" i="14"/>
  <c r="M12" i="14"/>
  <c r="J13" i="14"/>
  <c r="K13" i="14"/>
  <c r="L13" i="14"/>
  <c r="M13" i="14"/>
  <c r="J14" i="14"/>
  <c r="K14" i="14"/>
  <c r="L14" i="14"/>
  <c r="M14" i="14"/>
  <c r="J15" i="14"/>
  <c r="K15" i="14"/>
  <c r="L15" i="14"/>
  <c r="M15" i="14"/>
  <c r="J16" i="14"/>
  <c r="K16" i="14"/>
  <c r="L16" i="14"/>
  <c r="M16" i="14"/>
  <c r="J17" i="14"/>
  <c r="K17" i="14"/>
  <c r="L17" i="14"/>
  <c r="M17" i="14"/>
  <c r="J18" i="14"/>
  <c r="K18" i="14"/>
  <c r="L18" i="14"/>
  <c r="M18" i="14"/>
  <c r="J19" i="14"/>
  <c r="K19" i="14"/>
  <c r="L19" i="14"/>
  <c r="M19" i="14"/>
  <c r="J20" i="14"/>
  <c r="K20" i="14"/>
  <c r="L20" i="14"/>
  <c r="M20" i="14"/>
  <c r="J21" i="14"/>
  <c r="K21" i="14"/>
  <c r="L21" i="14"/>
  <c r="M21" i="14"/>
  <c r="J22" i="14"/>
  <c r="K22" i="14"/>
  <c r="L22" i="14"/>
  <c r="M22" i="14"/>
  <c r="J23" i="14"/>
  <c r="K23" i="14"/>
  <c r="L23" i="14"/>
  <c r="M23" i="14"/>
  <c r="J24" i="14"/>
  <c r="K24" i="14"/>
  <c r="L24" i="14"/>
  <c r="M24" i="14"/>
  <c r="J25" i="14"/>
  <c r="K25" i="14"/>
  <c r="L25" i="14"/>
  <c r="M25" i="14"/>
  <c r="J26" i="14"/>
  <c r="K26" i="14"/>
  <c r="L26" i="14"/>
  <c r="M26" i="14"/>
  <c r="J27" i="14"/>
  <c r="K27" i="14"/>
  <c r="L27" i="14"/>
  <c r="M27" i="14"/>
  <c r="J28" i="14"/>
  <c r="K28" i="14"/>
  <c r="L28" i="14"/>
  <c r="M28" i="14"/>
  <c r="J29" i="14"/>
  <c r="K29" i="14"/>
  <c r="L29" i="14"/>
  <c r="M29" i="14"/>
  <c r="J30" i="14"/>
  <c r="K30" i="14"/>
  <c r="L30" i="14"/>
  <c r="M30" i="14"/>
  <c r="J31" i="14"/>
  <c r="K31" i="14"/>
  <c r="L31" i="14"/>
  <c r="M31" i="14"/>
  <c r="J32" i="14"/>
  <c r="K32" i="14"/>
  <c r="L32" i="14"/>
  <c r="M32" i="14"/>
  <c r="J33" i="14"/>
  <c r="K33" i="14"/>
  <c r="L33" i="14"/>
  <c r="M33" i="14"/>
  <c r="J34" i="14"/>
  <c r="K34" i="14"/>
  <c r="L34" i="14"/>
  <c r="M34" i="14"/>
  <c r="J35" i="14"/>
  <c r="K35" i="14"/>
  <c r="L35" i="14"/>
  <c r="M35" i="14"/>
  <c r="J36" i="14"/>
  <c r="K36" i="14"/>
  <c r="L36" i="14"/>
  <c r="M36" i="14"/>
  <c r="J37" i="14"/>
  <c r="K37" i="14"/>
  <c r="L37" i="14"/>
  <c r="M37" i="14"/>
  <c r="J38" i="14"/>
  <c r="K38" i="14"/>
  <c r="L38" i="14"/>
  <c r="M38" i="14"/>
  <c r="J39" i="14"/>
  <c r="K39" i="14"/>
  <c r="L39" i="14"/>
  <c r="M39" i="14"/>
  <c r="J40" i="14"/>
  <c r="K40" i="14"/>
  <c r="L40" i="14"/>
  <c r="M40" i="14"/>
  <c r="J41" i="14"/>
  <c r="K41" i="14"/>
  <c r="L41" i="14"/>
  <c r="M41" i="14"/>
  <c r="J42" i="14"/>
  <c r="K42" i="14"/>
  <c r="L42" i="14"/>
  <c r="M42" i="14"/>
  <c r="J43" i="14"/>
  <c r="K43" i="14"/>
  <c r="L43" i="14"/>
  <c r="M43" i="14"/>
  <c r="K3" i="14"/>
  <c r="L3" i="14"/>
  <c r="M3" i="14"/>
  <c r="Z4" i="14"/>
  <c r="Z5" i="14"/>
  <c r="Z6" i="14"/>
  <c r="Z7" i="14"/>
  <c r="Z8" i="14"/>
  <c r="Z9" i="14"/>
  <c r="Z10" i="14"/>
  <c r="Z11" i="14"/>
  <c r="Z12" i="14"/>
  <c r="Z13" i="14"/>
  <c r="Z14" i="14"/>
  <c r="Z15" i="14"/>
  <c r="Z16" i="14"/>
  <c r="Z17" i="14"/>
  <c r="Z18" i="14"/>
  <c r="Z19" i="14"/>
  <c r="Z20" i="14"/>
  <c r="Z21" i="14"/>
  <c r="Z22" i="14"/>
  <c r="Z23" i="14"/>
  <c r="Z24" i="14"/>
  <c r="Z25" i="14"/>
  <c r="Z26" i="14"/>
  <c r="Z27" i="14"/>
  <c r="Z28" i="14"/>
  <c r="Z29" i="14"/>
  <c r="Z30" i="14"/>
  <c r="Z31" i="14"/>
  <c r="Z32" i="14"/>
  <c r="Z33" i="14"/>
  <c r="Z34" i="14"/>
  <c r="Z35" i="14"/>
  <c r="Z36" i="14"/>
  <c r="Z37" i="14"/>
  <c r="Z38" i="14"/>
  <c r="Z39" i="14"/>
  <c r="Z40" i="14"/>
  <c r="Z41" i="14"/>
  <c r="Z42" i="14"/>
  <c r="Z43" i="14"/>
  <c r="Y4" i="14"/>
  <c r="Y5" i="14"/>
  <c r="Y6" i="14"/>
  <c r="Y7" i="14"/>
  <c r="Y8" i="14"/>
  <c r="Y9" i="14"/>
  <c r="Y10" i="14"/>
  <c r="Y11" i="14"/>
  <c r="Y12" i="14"/>
  <c r="Y13" i="14"/>
  <c r="Y14" i="14"/>
  <c r="Y15" i="14"/>
  <c r="Y16" i="14"/>
  <c r="Y17" i="14"/>
  <c r="Y18" i="14"/>
  <c r="Y19" i="14"/>
  <c r="Y20" i="14"/>
  <c r="Y21" i="14"/>
  <c r="Y22" i="14"/>
  <c r="Y23" i="14"/>
  <c r="Y24" i="14"/>
  <c r="Y25" i="14"/>
  <c r="Y26" i="14"/>
  <c r="Y27" i="14"/>
  <c r="Y28" i="14"/>
  <c r="Y29" i="14"/>
  <c r="Y30" i="14"/>
  <c r="Y31" i="14"/>
  <c r="Y32" i="14"/>
  <c r="Y33" i="14"/>
  <c r="Y34" i="14"/>
  <c r="Y35" i="14"/>
  <c r="Y36" i="14"/>
  <c r="Y37" i="14"/>
  <c r="Y38" i="14"/>
  <c r="Y39" i="14"/>
  <c r="Y40" i="14"/>
  <c r="Y41" i="14"/>
  <c r="Y42" i="14"/>
  <c r="AA42" i="14" s="1"/>
  <c r="AA42" i="12" s="1"/>
  <c r="Y43" i="14"/>
  <c r="Z3" i="14"/>
  <c r="Y3" i="14"/>
  <c r="W4" i="14"/>
  <c r="W5" i="14"/>
  <c r="W6" i="14"/>
  <c r="W7" i="14"/>
  <c r="W8" i="14"/>
  <c r="W9" i="14"/>
  <c r="W10" i="14"/>
  <c r="W11" i="14"/>
  <c r="W12" i="14"/>
  <c r="W13" i="14"/>
  <c r="W14" i="14"/>
  <c r="W15" i="14"/>
  <c r="W16" i="14"/>
  <c r="W17" i="14"/>
  <c r="W18" i="14"/>
  <c r="W19" i="14"/>
  <c r="W20" i="14"/>
  <c r="W21" i="14"/>
  <c r="W22" i="14"/>
  <c r="W23" i="14"/>
  <c r="W24" i="14"/>
  <c r="W25" i="14"/>
  <c r="W26" i="14"/>
  <c r="W27" i="14"/>
  <c r="W28" i="14"/>
  <c r="W29" i="14"/>
  <c r="W30" i="14"/>
  <c r="W31" i="14"/>
  <c r="W32" i="14"/>
  <c r="W33" i="14"/>
  <c r="W34" i="14"/>
  <c r="W35" i="14"/>
  <c r="W36" i="14"/>
  <c r="W37" i="14"/>
  <c r="W38" i="14"/>
  <c r="W39" i="14"/>
  <c r="W40" i="14"/>
  <c r="W41" i="14"/>
  <c r="W42" i="14"/>
  <c r="W43" i="14"/>
  <c r="V4" i="14"/>
  <c r="V5" i="14"/>
  <c r="V6" i="14"/>
  <c r="V7" i="14"/>
  <c r="V8" i="14"/>
  <c r="V9" i="14"/>
  <c r="V10" i="14"/>
  <c r="V11" i="14"/>
  <c r="V12" i="14"/>
  <c r="V13" i="14"/>
  <c r="V14" i="14"/>
  <c r="V15" i="14"/>
  <c r="V16" i="14"/>
  <c r="V17" i="14"/>
  <c r="V18" i="14"/>
  <c r="V19" i="14"/>
  <c r="V20" i="14"/>
  <c r="V21" i="14"/>
  <c r="V22" i="14"/>
  <c r="V23" i="14"/>
  <c r="V24" i="14"/>
  <c r="V25" i="14"/>
  <c r="V26" i="14"/>
  <c r="V27" i="14"/>
  <c r="V28" i="14"/>
  <c r="V29" i="14"/>
  <c r="V30" i="14"/>
  <c r="V31" i="14"/>
  <c r="V32" i="14"/>
  <c r="V33" i="14"/>
  <c r="V34" i="14"/>
  <c r="V35" i="14"/>
  <c r="V36" i="14"/>
  <c r="V37" i="14"/>
  <c r="V38" i="14"/>
  <c r="V39" i="14"/>
  <c r="V40" i="14"/>
  <c r="V41" i="14"/>
  <c r="V42" i="14"/>
  <c r="V43" i="14"/>
  <c r="U4" i="14"/>
  <c r="U5" i="14"/>
  <c r="U6" i="14"/>
  <c r="U7" i="14"/>
  <c r="U8" i="14"/>
  <c r="U9" i="14"/>
  <c r="U10" i="14"/>
  <c r="U11" i="14"/>
  <c r="U12" i="14"/>
  <c r="U13" i="14"/>
  <c r="U14" i="14"/>
  <c r="U15" i="14"/>
  <c r="U16" i="14"/>
  <c r="U17" i="14"/>
  <c r="U18" i="14"/>
  <c r="U19" i="14"/>
  <c r="U20" i="14"/>
  <c r="U21" i="14"/>
  <c r="U22" i="14"/>
  <c r="U23" i="14"/>
  <c r="U24" i="14"/>
  <c r="U25" i="14"/>
  <c r="U26" i="14"/>
  <c r="U27" i="14"/>
  <c r="U28" i="14"/>
  <c r="U29" i="14"/>
  <c r="U30" i="14"/>
  <c r="U31" i="14"/>
  <c r="U32" i="14"/>
  <c r="U33" i="14"/>
  <c r="U34" i="14"/>
  <c r="U35" i="14"/>
  <c r="U36" i="14"/>
  <c r="U37" i="14"/>
  <c r="U38" i="14"/>
  <c r="U39" i="14"/>
  <c r="U40" i="14"/>
  <c r="U41" i="14"/>
  <c r="U42" i="14"/>
  <c r="U43" i="14"/>
  <c r="V3" i="14"/>
  <c r="W3" i="14"/>
  <c r="U3" i="14"/>
  <c r="S4" i="14"/>
  <c r="S5" i="14"/>
  <c r="S6" i="14"/>
  <c r="S7" i="14"/>
  <c r="S8" i="14"/>
  <c r="S9" i="14"/>
  <c r="S10" i="14"/>
  <c r="S11" i="14"/>
  <c r="S12" i="14"/>
  <c r="S13" i="14"/>
  <c r="S14" i="14"/>
  <c r="S15" i="14"/>
  <c r="S16" i="14"/>
  <c r="S17" i="14"/>
  <c r="S18" i="14"/>
  <c r="S19" i="14"/>
  <c r="S20" i="14"/>
  <c r="S21" i="14"/>
  <c r="S22" i="14"/>
  <c r="S23" i="14"/>
  <c r="S24" i="14"/>
  <c r="S25" i="14"/>
  <c r="S26" i="14"/>
  <c r="S27" i="14"/>
  <c r="S28" i="14"/>
  <c r="S29" i="14"/>
  <c r="S30" i="14"/>
  <c r="S31" i="14"/>
  <c r="S32" i="14"/>
  <c r="S33" i="14"/>
  <c r="S34" i="14"/>
  <c r="S35" i="14"/>
  <c r="S36" i="14"/>
  <c r="S37" i="14"/>
  <c r="S38" i="14"/>
  <c r="S39" i="14"/>
  <c r="S40" i="14"/>
  <c r="S41" i="14"/>
  <c r="S42" i="14"/>
  <c r="S43" i="14"/>
  <c r="R4" i="14"/>
  <c r="R5" i="14"/>
  <c r="R6" i="14"/>
  <c r="R7" i="14"/>
  <c r="R8" i="14"/>
  <c r="R9" i="14"/>
  <c r="R10" i="14"/>
  <c r="R11" i="14"/>
  <c r="R12" i="14"/>
  <c r="R13" i="14"/>
  <c r="R14" i="14"/>
  <c r="R15" i="14"/>
  <c r="R16" i="14"/>
  <c r="R17" i="14"/>
  <c r="R18" i="14"/>
  <c r="R19" i="14"/>
  <c r="R20" i="14"/>
  <c r="R21" i="14"/>
  <c r="R22" i="14"/>
  <c r="R23" i="14"/>
  <c r="R24" i="14"/>
  <c r="R25" i="14"/>
  <c r="R26" i="14"/>
  <c r="R27" i="14"/>
  <c r="R28" i="14"/>
  <c r="R29" i="14"/>
  <c r="R30" i="14"/>
  <c r="R31" i="14"/>
  <c r="R32" i="14"/>
  <c r="R33" i="14"/>
  <c r="R34" i="14"/>
  <c r="R35" i="14"/>
  <c r="R36" i="14"/>
  <c r="R37" i="14"/>
  <c r="R38" i="14"/>
  <c r="R39" i="14"/>
  <c r="R40" i="14"/>
  <c r="R41" i="14"/>
  <c r="R42" i="14"/>
  <c r="R43" i="14"/>
  <c r="Q4" i="14"/>
  <c r="Q5" i="14"/>
  <c r="Q6" i="14"/>
  <c r="Q7" i="14"/>
  <c r="Q8" i="14"/>
  <c r="Q9" i="14"/>
  <c r="Q10" i="14"/>
  <c r="Q11" i="14"/>
  <c r="Q12" i="14"/>
  <c r="Q13" i="14"/>
  <c r="Q14" i="14"/>
  <c r="Q15" i="14"/>
  <c r="Q16" i="14"/>
  <c r="Q17" i="14"/>
  <c r="Q18" i="14"/>
  <c r="Q19" i="14"/>
  <c r="Q20" i="14"/>
  <c r="Q21" i="14"/>
  <c r="Q22" i="14"/>
  <c r="Q23" i="14"/>
  <c r="Q24" i="14"/>
  <c r="Q25" i="14"/>
  <c r="Q26" i="14"/>
  <c r="Q27" i="14"/>
  <c r="Q28" i="14"/>
  <c r="Q29" i="14"/>
  <c r="Q30" i="14"/>
  <c r="Q31" i="14"/>
  <c r="Q32" i="14"/>
  <c r="Q33" i="14"/>
  <c r="Q34" i="14"/>
  <c r="Q35" i="14"/>
  <c r="Q36" i="14"/>
  <c r="Q37" i="14"/>
  <c r="Q38" i="14"/>
  <c r="Q39" i="14"/>
  <c r="Q40" i="14"/>
  <c r="Q41" i="14"/>
  <c r="Q42" i="14"/>
  <c r="Q43" i="14"/>
  <c r="R3" i="14"/>
  <c r="S3" i="14"/>
  <c r="Q3" i="14"/>
  <c r="T3" i="14" s="1"/>
  <c r="H4" i="14"/>
  <c r="H5" i="14"/>
  <c r="H6" i="14"/>
  <c r="H7" i="14"/>
  <c r="H8" i="14"/>
  <c r="H9" i="14"/>
  <c r="H10" i="14"/>
  <c r="H11" i="14"/>
  <c r="H12" i="14"/>
  <c r="H13" i="14"/>
  <c r="H14" i="14"/>
  <c r="H15" i="14"/>
  <c r="H16" i="14"/>
  <c r="H17" i="14"/>
  <c r="H18" i="14"/>
  <c r="H19" i="14"/>
  <c r="H20" i="14"/>
  <c r="H21" i="14"/>
  <c r="H22" i="14"/>
  <c r="H23" i="14"/>
  <c r="H24" i="14"/>
  <c r="H25" i="14"/>
  <c r="H26" i="14"/>
  <c r="H27" i="14"/>
  <c r="H28" i="14"/>
  <c r="H29" i="14"/>
  <c r="H30" i="14"/>
  <c r="H31" i="14"/>
  <c r="H32" i="14"/>
  <c r="H33" i="14"/>
  <c r="H34" i="14"/>
  <c r="H35" i="14"/>
  <c r="H36" i="14"/>
  <c r="H37" i="14"/>
  <c r="H38" i="14"/>
  <c r="H39" i="14"/>
  <c r="H40" i="14"/>
  <c r="H41" i="14"/>
  <c r="H42" i="14"/>
  <c r="H43" i="14"/>
  <c r="G4" i="14"/>
  <c r="G5" i="14"/>
  <c r="G6" i="14"/>
  <c r="G7" i="14"/>
  <c r="G8" i="14"/>
  <c r="G9" i="14"/>
  <c r="G10" i="14"/>
  <c r="G11" i="14"/>
  <c r="G12" i="14"/>
  <c r="G13" i="14"/>
  <c r="G14" i="14"/>
  <c r="G15" i="14"/>
  <c r="G16" i="14"/>
  <c r="G17" i="14"/>
  <c r="G18" i="14"/>
  <c r="G19" i="14"/>
  <c r="G20" i="14"/>
  <c r="G21" i="14"/>
  <c r="G22" i="14"/>
  <c r="G23" i="14"/>
  <c r="G24" i="14"/>
  <c r="G25" i="14"/>
  <c r="G26" i="14"/>
  <c r="G27" i="14"/>
  <c r="G28" i="14"/>
  <c r="G29" i="14"/>
  <c r="G30" i="14"/>
  <c r="G31" i="14"/>
  <c r="G32" i="14"/>
  <c r="G33" i="14"/>
  <c r="G34" i="14"/>
  <c r="G35" i="14"/>
  <c r="G36" i="14"/>
  <c r="G37" i="14"/>
  <c r="G38" i="14"/>
  <c r="G39" i="14"/>
  <c r="G40" i="14"/>
  <c r="G41" i="14"/>
  <c r="G42" i="14"/>
  <c r="G43" i="14"/>
  <c r="F4" i="14"/>
  <c r="F5" i="14"/>
  <c r="F6" i="14"/>
  <c r="F7" i="14"/>
  <c r="F8" i="14"/>
  <c r="F9" i="14"/>
  <c r="F10" i="14"/>
  <c r="F11" i="14"/>
  <c r="F12" i="14"/>
  <c r="F13" i="14"/>
  <c r="F14" i="14"/>
  <c r="F15" i="14"/>
  <c r="F16" i="14"/>
  <c r="F17" i="14"/>
  <c r="F18" i="14"/>
  <c r="F19" i="14"/>
  <c r="F20" i="14"/>
  <c r="F21" i="14"/>
  <c r="F22" i="14"/>
  <c r="F23" i="14"/>
  <c r="F24" i="14"/>
  <c r="F25" i="14"/>
  <c r="F26" i="14"/>
  <c r="F27" i="14"/>
  <c r="F28" i="14"/>
  <c r="F29" i="14"/>
  <c r="F30" i="14"/>
  <c r="F31" i="14"/>
  <c r="F32" i="14"/>
  <c r="F33" i="14"/>
  <c r="F34" i="14"/>
  <c r="F35" i="14"/>
  <c r="F36" i="14"/>
  <c r="F37" i="14"/>
  <c r="F38" i="14"/>
  <c r="F39" i="14"/>
  <c r="F40" i="14"/>
  <c r="F41" i="14"/>
  <c r="F42" i="14"/>
  <c r="F43" i="14"/>
  <c r="H3" i="14"/>
  <c r="G3" i="14"/>
  <c r="F3" i="14"/>
  <c r="E3" i="14"/>
  <c r="C4" i="14"/>
  <c r="C5" i="14"/>
  <c r="C6" i="14"/>
  <c r="C7" i="14"/>
  <c r="C8" i="14"/>
  <c r="C9" i="14"/>
  <c r="C10" i="14"/>
  <c r="C11" i="14"/>
  <c r="C12" i="14"/>
  <c r="C13" i="14"/>
  <c r="C14" i="14"/>
  <c r="C15" i="14"/>
  <c r="C16" i="14"/>
  <c r="C17" i="14"/>
  <c r="C18" i="14"/>
  <c r="C19" i="14"/>
  <c r="C20" i="14"/>
  <c r="C21" i="14"/>
  <c r="C22" i="14"/>
  <c r="C23" i="14"/>
  <c r="C24" i="14"/>
  <c r="C25" i="14"/>
  <c r="C26" i="14"/>
  <c r="C27" i="14"/>
  <c r="C28" i="14"/>
  <c r="C29" i="14"/>
  <c r="C30" i="14"/>
  <c r="C31" i="14"/>
  <c r="C32" i="14"/>
  <c r="C33" i="14"/>
  <c r="C34" i="14"/>
  <c r="C35" i="14"/>
  <c r="C36" i="14"/>
  <c r="C37" i="14"/>
  <c r="C38" i="14"/>
  <c r="C39" i="14"/>
  <c r="C40" i="14"/>
  <c r="C41" i="14"/>
  <c r="C42" i="14"/>
  <c r="C43" i="14"/>
  <c r="C3" i="14"/>
  <c r="B4" i="14"/>
  <c r="B5" i="14"/>
  <c r="B6" i="14"/>
  <c r="B7" i="14"/>
  <c r="B8" i="14"/>
  <c r="B9" i="14"/>
  <c r="B10" i="14"/>
  <c r="B11" i="14"/>
  <c r="B12" i="14"/>
  <c r="B13" i="14"/>
  <c r="B14" i="14"/>
  <c r="B15" i="14"/>
  <c r="B16" i="14"/>
  <c r="B17" i="14"/>
  <c r="B18" i="14"/>
  <c r="B19" i="14"/>
  <c r="B20" i="14"/>
  <c r="B21" i="14"/>
  <c r="B22" i="14"/>
  <c r="B23" i="14"/>
  <c r="B24" i="14"/>
  <c r="B25" i="14"/>
  <c r="B26" i="14"/>
  <c r="B27" i="14"/>
  <c r="B28" i="14"/>
  <c r="B29" i="14"/>
  <c r="B30" i="14"/>
  <c r="B31" i="14"/>
  <c r="B32" i="14"/>
  <c r="B33" i="14"/>
  <c r="B34" i="14"/>
  <c r="B35" i="14"/>
  <c r="B36" i="14"/>
  <c r="B37" i="14"/>
  <c r="B38" i="14"/>
  <c r="B39" i="14"/>
  <c r="B40" i="14"/>
  <c r="B41" i="14"/>
  <c r="B42" i="14"/>
  <c r="B43" i="14"/>
  <c r="B3" i="14"/>
  <c r="F18" i="10"/>
  <c r="F19" i="10"/>
  <c r="F44" i="10"/>
  <c r="F43" i="10"/>
  <c r="F40" i="10"/>
  <c r="F39" i="10"/>
  <c r="F38" i="10"/>
  <c r="G37" i="10" s="1"/>
  <c r="H37" i="10" s="1"/>
  <c r="F36" i="10"/>
  <c r="F35" i="10"/>
  <c r="F34" i="10"/>
  <c r="F32" i="10"/>
  <c r="F31" i="10"/>
  <c r="F30" i="10"/>
  <c r="F29" i="10"/>
  <c r="F28" i="10"/>
  <c r="F27" i="10"/>
  <c r="F24" i="10"/>
  <c r="F23" i="10"/>
  <c r="F22" i="10"/>
  <c r="F21" i="10"/>
  <c r="P3" i="14" l="1"/>
  <c r="AA31" i="14"/>
  <c r="AA31" i="12" s="1"/>
  <c r="AA9" i="14"/>
  <c r="AA9" i="12" s="1"/>
  <c r="I23" i="14"/>
  <c r="I23" i="12" s="1"/>
  <c r="I9" i="14"/>
  <c r="I9" i="12" s="1"/>
  <c r="I15" i="14"/>
  <c r="I15" i="12" s="1"/>
  <c r="I32" i="14"/>
  <c r="I32" i="12" s="1"/>
  <c r="D10" i="14"/>
  <c r="D10" i="12" s="1"/>
  <c r="I37" i="14"/>
  <c r="I37" i="12" s="1"/>
  <c r="I41" i="14"/>
  <c r="I41" i="12" s="1"/>
  <c r="D35" i="14"/>
  <c r="D35" i="12" s="1"/>
  <c r="AA14" i="14"/>
  <c r="AA14" i="12" s="1"/>
  <c r="D19" i="14"/>
  <c r="D19" i="12" s="1"/>
  <c r="I40" i="14"/>
  <c r="I40" i="12" s="1"/>
  <c r="I30" i="14"/>
  <c r="I30" i="12" s="1"/>
  <c r="I31" i="14"/>
  <c r="I31" i="12" s="1"/>
  <c r="I16" i="14"/>
  <c r="I16" i="12" s="1"/>
  <c r="I38" i="14"/>
  <c r="I38" i="12" s="1"/>
  <c r="AA6" i="14"/>
  <c r="AA6" i="12" s="1"/>
  <c r="AA39" i="14"/>
  <c r="AA39" i="12" s="1"/>
  <c r="I5" i="14"/>
  <c r="I5" i="12" s="1"/>
  <c r="D29" i="14"/>
  <c r="D29" i="12" s="1"/>
  <c r="D4" i="14"/>
  <c r="D4" i="12" s="1"/>
  <c r="AA38" i="14"/>
  <c r="AA38" i="12" s="1"/>
  <c r="I3" i="14"/>
  <c r="I3" i="12" s="1"/>
  <c r="AA37" i="14"/>
  <c r="AA37" i="12" s="1"/>
  <c r="AA30" i="14"/>
  <c r="AA30" i="12" s="1"/>
  <c r="I35" i="14"/>
  <c r="I35" i="12" s="1"/>
  <c r="AA29" i="14"/>
  <c r="AA29" i="12" s="1"/>
  <c r="I39" i="14"/>
  <c r="I39" i="12" s="1"/>
  <c r="I10" i="14"/>
  <c r="I10" i="12" s="1"/>
  <c r="I24" i="14"/>
  <c r="I24" i="12" s="1"/>
  <c r="AA26" i="14"/>
  <c r="AA26" i="12" s="1"/>
  <c r="AA4" i="14"/>
  <c r="I18" i="14"/>
  <c r="I18" i="12" s="1"/>
  <c r="I25" i="14"/>
  <c r="I25" i="12" s="1"/>
  <c r="I4" i="14"/>
  <c r="I4" i="12" s="1"/>
  <c r="I11" i="14"/>
  <c r="I11" i="12" s="1"/>
  <c r="I33" i="14"/>
  <c r="I33" i="12" s="1"/>
  <c r="I8" i="14"/>
  <c r="I8" i="12" s="1"/>
  <c r="P4" i="14"/>
  <c r="P4" i="12" s="1"/>
  <c r="I26" i="14"/>
  <c r="I26" i="12" s="1"/>
  <c r="I7" i="14"/>
  <c r="I7" i="12" s="1"/>
  <c r="I34" i="14"/>
  <c r="I34" i="12" s="1"/>
  <c r="I22" i="14"/>
  <c r="I22" i="12" s="1"/>
  <c r="I20" i="14"/>
  <c r="I20" i="12" s="1"/>
  <c r="I6" i="14"/>
  <c r="I6" i="12" s="1"/>
  <c r="I17" i="14"/>
  <c r="I17" i="12" s="1"/>
  <c r="I19" i="14"/>
  <c r="I19" i="12" s="1"/>
  <c r="I27" i="14"/>
  <c r="I27" i="12" s="1"/>
  <c r="I42" i="14"/>
  <c r="I42" i="12" s="1"/>
  <c r="I28" i="14"/>
  <c r="I28" i="12" s="1"/>
  <c r="I21" i="14"/>
  <c r="I21" i="12" s="1"/>
  <c r="I43" i="14"/>
  <c r="I43" i="12" s="1"/>
  <c r="I12" i="14"/>
  <c r="I12" i="12" s="1"/>
  <c r="X43" i="14"/>
  <c r="X43" i="12" s="1"/>
  <c r="I13" i="14"/>
  <c r="I13" i="12" s="1"/>
  <c r="I14" i="14"/>
  <c r="I14" i="12" s="1"/>
  <c r="I36" i="14"/>
  <c r="I36" i="12" s="1"/>
  <c r="I29" i="14"/>
  <c r="I29" i="12" s="1"/>
  <c r="D37" i="14"/>
  <c r="D37" i="12" s="1"/>
  <c r="AA5" i="14"/>
  <c r="AA5" i="12" s="1"/>
  <c r="P6" i="14"/>
  <c r="P6" i="12" s="1"/>
  <c r="D34" i="14"/>
  <c r="D34" i="12" s="1"/>
  <c r="T14" i="14"/>
  <c r="T14" i="12" s="1"/>
  <c r="T34" i="14"/>
  <c r="T34" i="12" s="1"/>
  <c r="AA22" i="14"/>
  <c r="AA22" i="12" s="1"/>
  <c r="T4" i="14"/>
  <c r="T4" i="12" s="1"/>
  <c r="AA33" i="14"/>
  <c r="AA33" i="12" s="1"/>
  <c r="AF42" i="14"/>
  <c r="P12" i="14"/>
  <c r="P12" i="12" s="1"/>
  <c r="P43" i="14"/>
  <c r="P43" i="12" s="1"/>
  <c r="AA40" i="14"/>
  <c r="AA40" i="12" s="1"/>
  <c r="AA43" i="14"/>
  <c r="AA43" i="12" s="1"/>
  <c r="X29" i="14"/>
  <c r="X29" i="12" s="1"/>
  <c r="P42" i="14"/>
  <c r="P42" i="12" s="1"/>
  <c r="P20" i="14"/>
  <c r="P20" i="12" s="1"/>
  <c r="P36" i="14"/>
  <c r="P36" i="12" s="1"/>
  <c r="P14" i="14"/>
  <c r="P14" i="12" s="1"/>
  <c r="X4" i="14"/>
  <c r="X4" i="12" s="1"/>
  <c r="AA21" i="14"/>
  <c r="AA21" i="12" s="1"/>
  <c r="P41" i="14"/>
  <c r="P41" i="12" s="1"/>
  <c r="P40" i="14"/>
  <c r="P40" i="12" s="1"/>
  <c r="T7" i="14"/>
  <c r="T7" i="12" s="1"/>
  <c r="P24" i="14"/>
  <c r="P24" i="12" s="1"/>
  <c r="P34" i="14"/>
  <c r="P34" i="12" s="1"/>
  <c r="T3" i="12"/>
  <c r="AA24" i="14"/>
  <c r="AA24" i="12" s="1"/>
  <c r="AA18" i="14"/>
  <c r="AA18" i="12" s="1"/>
  <c r="AA17" i="14"/>
  <c r="AA17" i="12" s="1"/>
  <c r="AA36" i="14"/>
  <c r="AA36" i="12" s="1"/>
  <c r="AA35" i="14"/>
  <c r="AA35" i="12" s="1"/>
  <c r="AA13" i="14"/>
  <c r="AA13" i="12" s="1"/>
  <c r="AA34" i="14"/>
  <c r="AA34" i="12" s="1"/>
  <c r="AA10" i="14"/>
  <c r="AA10" i="12" s="1"/>
  <c r="AA41" i="14"/>
  <c r="AA41" i="12" s="1"/>
  <c r="X24" i="14"/>
  <c r="X24" i="12" s="1"/>
  <c r="X40" i="14"/>
  <c r="X40" i="12" s="1"/>
  <c r="X21" i="14"/>
  <c r="X21" i="12" s="1"/>
  <c r="X42" i="14"/>
  <c r="X42" i="12" s="1"/>
  <c r="X41" i="14"/>
  <c r="X41" i="12" s="1"/>
  <c r="X14" i="14"/>
  <c r="X14" i="12" s="1"/>
  <c r="X34" i="14"/>
  <c r="X34" i="12" s="1"/>
  <c r="X16" i="14"/>
  <c r="X16" i="12" s="1"/>
  <c r="X37" i="14"/>
  <c r="X37" i="12" s="1"/>
  <c r="X13" i="14"/>
  <c r="X13" i="12" s="1"/>
  <c r="T41" i="14"/>
  <c r="T41" i="12" s="1"/>
  <c r="T40" i="14"/>
  <c r="T40" i="12" s="1"/>
  <c r="T15" i="14"/>
  <c r="T15" i="12" s="1"/>
  <c r="T24" i="14"/>
  <c r="T24" i="12" s="1"/>
  <c r="T23" i="14"/>
  <c r="T23" i="12" s="1"/>
  <c r="T43" i="14"/>
  <c r="T43" i="12" s="1"/>
  <c r="T39" i="14"/>
  <c r="T39" i="12" s="1"/>
  <c r="T31" i="14"/>
  <c r="T31" i="12" s="1"/>
  <c r="T42" i="14"/>
  <c r="T42" i="12" s="1"/>
  <c r="D30" i="14"/>
  <c r="D30" i="12" s="1"/>
  <c r="D24" i="14"/>
  <c r="D24" i="12" s="1"/>
  <c r="D23" i="14"/>
  <c r="D23" i="12" s="1"/>
  <c r="D43" i="14"/>
  <c r="D43" i="12" s="1"/>
  <c r="D42" i="14"/>
  <c r="D42" i="12" s="1"/>
  <c r="D41" i="14"/>
  <c r="D41" i="12" s="1"/>
  <c r="D40" i="14"/>
  <c r="D40" i="12" s="1"/>
  <c r="D39" i="14"/>
  <c r="D39" i="12" s="1"/>
  <c r="D14" i="14"/>
  <c r="D14" i="12" s="1"/>
  <c r="X5" i="14"/>
  <c r="X5" i="12" s="1"/>
  <c r="P39" i="14"/>
  <c r="P39" i="12" s="1"/>
  <c r="X32" i="14"/>
  <c r="X32" i="12" s="1"/>
  <c r="AA25" i="14"/>
  <c r="AA25" i="12" s="1"/>
  <c r="AA7" i="14"/>
  <c r="AA7" i="12" s="1"/>
  <c r="T27" i="14"/>
  <c r="T27" i="12" s="1"/>
  <c r="X26" i="14"/>
  <c r="X26" i="12" s="1"/>
  <c r="X18" i="14"/>
  <c r="X18" i="12" s="1"/>
  <c r="X10" i="14"/>
  <c r="X10" i="12" s="1"/>
  <c r="X8" i="14"/>
  <c r="X8" i="12" s="1"/>
  <c r="AA27" i="14"/>
  <c r="AA27" i="12" s="1"/>
  <c r="AA23" i="14"/>
  <c r="AA23" i="12" s="1"/>
  <c r="AA19" i="14"/>
  <c r="AA19" i="12" s="1"/>
  <c r="AA15" i="14"/>
  <c r="AA15" i="12" s="1"/>
  <c r="AA11" i="14"/>
  <c r="AA11" i="12" s="1"/>
  <c r="X28" i="14"/>
  <c r="X28" i="12" s="1"/>
  <c r="D20" i="14"/>
  <c r="D20" i="12" s="1"/>
  <c r="T11" i="14"/>
  <c r="T11" i="12" s="1"/>
  <c r="X3" i="14"/>
  <c r="X3" i="12" s="1"/>
  <c r="X20" i="14"/>
  <c r="X20" i="12" s="1"/>
  <c r="P32" i="14"/>
  <c r="P32" i="12" s="1"/>
  <c r="P16" i="14"/>
  <c r="P16" i="12" s="1"/>
  <c r="P8" i="14"/>
  <c r="P8" i="12" s="1"/>
  <c r="T35" i="14"/>
  <c r="T35" i="12" s="1"/>
  <c r="T19" i="14"/>
  <c r="T19" i="12" s="1"/>
  <c r="X36" i="14"/>
  <c r="X36" i="12" s="1"/>
  <c r="X12" i="14"/>
  <c r="X12" i="12" s="1"/>
  <c r="P38" i="14"/>
  <c r="P38" i="12" s="1"/>
  <c r="P30" i="14"/>
  <c r="P30" i="12" s="1"/>
  <c r="AF18" i="14"/>
  <c r="D32" i="14"/>
  <c r="D32" i="12" s="1"/>
  <c r="T37" i="14"/>
  <c r="T37" i="12" s="1"/>
  <c r="T32" i="14"/>
  <c r="T32" i="12" s="1"/>
  <c r="T29" i="14"/>
  <c r="T29" i="12" s="1"/>
  <c r="T26" i="14"/>
  <c r="T26" i="12" s="1"/>
  <c r="T21" i="14"/>
  <c r="T21" i="12" s="1"/>
  <c r="T18" i="14"/>
  <c r="T18" i="12" s="1"/>
  <c r="T16" i="14"/>
  <c r="T16" i="12" s="1"/>
  <c r="T13" i="14"/>
  <c r="T13" i="12" s="1"/>
  <c r="T10" i="14"/>
  <c r="T10" i="12" s="1"/>
  <c r="T8" i="14"/>
  <c r="T8" i="12" s="1"/>
  <c r="T5" i="14"/>
  <c r="T5" i="12" s="1"/>
  <c r="X33" i="14"/>
  <c r="X33" i="12" s="1"/>
  <c r="X25" i="14"/>
  <c r="X25" i="12" s="1"/>
  <c r="X17" i="14"/>
  <c r="X17" i="12" s="1"/>
  <c r="X9" i="14"/>
  <c r="X9" i="12" s="1"/>
  <c r="D22" i="14"/>
  <c r="D22" i="12" s="1"/>
  <c r="X38" i="14"/>
  <c r="X38" i="12" s="1"/>
  <c r="X30" i="14"/>
  <c r="X30" i="12" s="1"/>
  <c r="X22" i="14"/>
  <c r="X22" i="12" s="1"/>
  <c r="X6" i="14"/>
  <c r="X6" i="12" s="1"/>
  <c r="AA32" i="14"/>
  <c r="AA32" i="12" s="1"/>
  <c r="AA28" i="14"/>
  <c r="AA28" i="12" s="1"/>
  <c r="AA20" i="14"/>
  <c r="AA20" i="12" s="1"/>
  <c r="AA16" i="14"/>
  <c r="AA16" i="12" s="1"/>
  <c r="AA12" i="14"/>
  <c r="AA12" i="12" s="1"/>
  <c r="AA8" i="14"/>
  <c r="AA8" i="12" s="1"/>
  <c r="D5" i="14"/>
  <c r="D5" i="12" s="1"/>
  <c r="X35" i="14"/>
  <c r="X35" i="12" s="1"/>
  <c r="X27" i="14"/>
  <c r="X27" i="12" s="1"/>
  <c r="X19" i="14"/>
  <c r="X19" i="12" s="1"/>
  <c r="X11" i="14"/>
  <c r="X11" i="12" s="1"/>
  <c r="T25" i="14"/>
  <c r="T25" i="12" s="1"/>
  <c r="T20" i="14"/>
  <c r="T20" i="12" s="1"/>
  <c r="T17" i="14"/>
  <c r="T17" i="12" s="1"/>
  <c r="T12" i="14"/>
  <c r="T12" i="12" s="1"/>
  <c r="T9" i="14"/>
  <c r="T9" i="12" s="1"/>
  <c r="P29" i="14"/>
  <c r="P29" i="12" s="1"/>
  <c r="P21" i="14"/>
  <c r="P21" i="12" s="1"/>
  <c r="P13" i="14"/>
  <c r="P13" i="12" s="1"/>
  <c r="P5" i="14"/>
  <c r="P5" i="12" s="1"/>
  <c r="T38" i="14"/>
  <c r="T38" i="12" s="1"/>
  <c r="T30" i="14"/>
  <c r="T30" i="12" s="1"/>
  <c r="T22" i="14"/>
  <c r="T22" i="12" s="1"/>
  <c r="T6" i="14"/>
  <c r="T6" i="12" s="1"/>
  <c r="X39" i="14"/>
  <c r="X39" i="12" s="1"/>
  <c r="X31" i="14"/>
  <c r="X31" i="12" s="1"/>
  <c r="X23" i="14"/>
  <c r="X23" i="12" s="1"/>
  <c r="X15" i="14"/>
  <c r="X15" i="12" s="1"/>
  <c r="X7" i="14"/>
  <c r="X7" i="12" s="1"/>
  <c r="T36" i="14"/>
  <c r="T36" i="12" s="1"/>
  <c r="T33" i="14"/>
  <c r="T33" i="12" s="1"/>
  <c r="T28" i="14"/>
  <c r="T28" i="12" s="1"/>
  <c r="P22" i="14"/>
  <c r="P22" i="12" s="1"/>
  <c r="P37" i="14"/>
  <c r="P37" i="12" s="1"/>
  <c r="D25" i="14"/>
  <c r="D25" i="12" s="1"/>
  <c r="P28" i="14"/>
  <c r="P28" i="12" s="1"/>
  <c r="P18" i="14"/>
  <c r="P18" i="12" s="1"/>
  <c r="P10" i="14"/>
  <c r="P10" i="12" s="1"/>
  <c r="D38" i="14"/>
  <c r="D38" i="12" s="1"/>
  <c r="D21" i="14"/>
  <c r="D21" i="12" s="1"/>
  <c r="P25" i="14"/>
  <c r="P25" i="12" s="1"/>
  <c r="P17" i="14"/>
  <c r="P17" i="12" s="1"/>
  <c r="P9" i="14"/>
  <c r="P9" i="12" s="1"/>
  <c r="P33" i="14"/>
  <c r="P33" i="12" s="1"/>
  <c r="D28" i="14"/>
  <c r="D28" i="12" s="1"/>
  <c r="P23" i="14"/>
  <c r="P23" i="12" s="1"/>
  <c r="P15" i="14"/>
  <c r="P15" i="12" s="1"/>
  <c r="P31" i="14"/>
  <c r="P31" i="12" s="1"/>
  <c r="P7" i="14"/>
  <c r="P7" i="12" s="1"/>
  <c r="G42" i="10"/>
  <c r="G41" i="10" s="1"/>
  <c r="H20" i="10"/>
  <c r="P26" i="14"/>
  <c r="P26" i="12" s="1"/>
  <c r="P35" i="14"/>
  <c r="P35" i="12" s="1"/>
  <c r="P27" i="14"/>
  <c r="P27" i="12" s="1"/>
  <c r="P19" i="14"/>
  <c r="P19" i="12" s="1"/>
  <c r="P11" i="14"/>
  <c r="P11" i="12" s="1"/>
  <c r="P3" i="12"/>
  <c r="D13" i="14"/>
  <c r="D13" i="12" s="1"/>
  <c r="D36" i="14"/>
  <c r="D36" i="12" s="1"/>
  <c r="D33" i="14"/>
  <c r="D33" i="12" s="1"/>
  <c r="D31" i="14"/>
  <c r="D31" i="12" s="1"/>
  <c r="D26" i="14"/>
  <c r="D26" i="12" s="1"/>
  <c r="AA3" i="14"/>
  <c r="D27" i="14"/>
  <c r="D27" i="12" s="1"/>
  <c r="D6" i="14"/>
  <c r="D6" i="12" s="1"/>
  <c r="D7" i="14"/>
  <c r="D7" i="12" s="1"/>
  <c r="D11" i="14"/>
  <c r="D11" i="12" s="1"/>
  <c r="D18" i="14"/>
  <c r="D18" i="12" s="1"/>
  <c r="D17" i="14"/>
  <c r="D17" i="12" s="1"/>
  <c r="D16" i="14"/>
  <c r="D16" i="12" s="1"/>
  <c r="D15" i="14"/>
  <c r="D15" i="12" s="1"/>
  <c r="D12" i="14"/>
  <c r="D12" i="12" s="1"/>
  <c r="D9" i="14"/>
  <c r="D9" i="12" s="1"/>
  <c r="D8" i="14"/>
  <c r="D8" i="12" s="1"/>
  <c r="D3" i="14"/>
  <c r="D3" i="12" s="1"/>
  <c r="G33" i="10"/>
  <c r="H33" i="10" s="1"/>
  <c r="G26" i="10"/>
  <c r="G17" i="10"/>
  <c r="H17" i="10" s="1"/>
  <c r="AF31" i="14" l="1"/>
  <c r="AF14" i="14"/>
  <c r="AF37" i="14"/>
  <c r="AH3" i="14"/>
  <c r="AA3" i="12"/>
  <c r="AF3" i="14"/>
  <c r="AC3" i="14"/>
  <c r="AC3" i="12" s="1"/>
  <c r="AF4" i="14"/>
  <c r="AA4" i="12"/>
  <c r="AB24" i="14"/>
  <c r="AB24" i="12" s="1"/>
  <c r="AB40" i="14"/>
  <c r="AB40" i="12" s="1"/>
  <c r="AB32" i="14"/>
  <c r="AB32" i="12" s="1"/>
  <c r="AB11" i="14"/>
  <c r="AC23" i="14"/>
  <c r="AC23" i="12" s="1"/>
  <c r="AB7" i="14"/>
  <c r="AB7" i="12" s="1"/>
  <c r="AB28" i="14"/>
  <c r="AB28" i="12" s="1"/>
  <c r="AC38" i="14"/>
  <c r="AC38" i="12" s="1"/>
  <c r="AB17" i="14"/>
  <c r="AB17" i="12" s="1"/>
  <c r="AC31" i="14"/>
  <c r="AC31" i="12" s="1"/>
  <c r="AB20" i="14"/>
  <c r="AB20" i="12" s="1"/>
  <c r="AB42" i="14"/>
  <c r="AB42" i="12" s="1"/>
  <c r="AC20" i="14"/>
  <c r="AC20" i="12" s="1"/>
  <c r="AB19" i="14"/>
  <c r="AB19" i="12" s="1"/>
  <c r="AB18" i="14"/>
  <c r="AB18" i="12" s="1"/>
  <c r="AC15" i="14"/>
  <c r="AC15" i="12" s="1"/>
  <c r="AB43" i="14"/>
  <c r="AB43" i="12" s="1"/>
  <c r="AC42" i="14"/>
  <c r="AC42" i="12" s="1"/>
  <c r="AB35" i="14"/>
  <c r="AB35" i="12" s="1"/>
  <c r="AC17" i="14"/>
  <c r="AC17" i="12" s="1"/>
  <c r="AC5" i="14"/>
  <c r="AC5" i="12" s="1"/>
  <c r="AB26" i="14"/>
  <c r="AB26" i="12" s="1"/>
  <c r="AC21" i="14"/>
  <c r="AC21" i="12" s="1"/>
  <c r="AB8" i="14"/>
  <c r="AB8" i="12" s="1"/>
  <c r="AC19" i="14"/>
  <c r="AC19" i="12" s="1"/>
  <c r="AC37" i="14"/>
  <c r="AC37" i="12" s="1"/>
  <c r="AC8" i="14"/>
  <c r="AC8" i="12" s="1"/>
  <c r="AC39" i="14"/>
  <c r="AC39" i="12" s="1"/>
  <c r="AB13" i="14"/>
  <c r="AB13" i="12" s="1"/>
  <c r="AB29" i="14"/>
  <c r="AB29" i="12" s="1"/>
  <c r="AB25" i="14"/>
  <c r="AB25" i="12" s="1"/>
  <c r="AC32" i="14"/>
  <c r="AC32" i="12" s="1"/>
  <c r="AC41" i="14"/>
  <c r="AC41" i="12" s="1"/>
  <c r="AB6" i="14"/>
  <c r="AB6" i="12" s="1"/>
  <c r="AC43" i="14"/>
  <c r="AC43" i="12" s="1"/>
  <c r="AB10" i="14"/>
  <c r="AB10" i="12" s="1"/>
  <c r="AC12" i="14"/>
  <c r="AC12" i="12" s="1"/>
  <c r="AC25" i="14"/>
  <c r="AC25" i="12" s="1"/>
  <c r="AF35" i="14"/>
  <c r="AB31" i="14"/>
  <c r="AB31" i="12" s="1"/>
  <c r="AC10" i="14"/>
  <c r="AC10" i="12" s="1"/>
  <c r="AC18" i="14"/>
  <c r="AC18" i="12" s="1"/>
  <c r="AC28" i="14"/>
  <c r="AC28" i="12" s="1"/>
  <c r="AC24" i="14"/>
  <c r="AC24" i="12" s="1"/>
  <c r="AB3" i="14"/>
  <c r="AC11" i="14"/>
  <c r="AC11" i="12" s="1"/>
  <c r="AF9" i="14"/>
  <c r="AB23" i="14"/>
  <c r="AB23" i="12" s="1"/>
  <c r="AB30" i="14"/>
  <c r="AB30" i="12" s="1"/>
  <c r="AB33" i="14"/>
  <c r="AB33" i="12" s="1"/>
  <c r="AC29" i="14"/>
  <c r="AC29" i="12" s="1"/>
  <c r="AB9" i="14"/>
  <c r="AB9" i="12" s="1"/>
  <c r="AC27" i="14"/>
  <c r="AC27" i="12" s="1"/>
  <c r="AC22" i="14"/>
  <c r="AC22" i="12" s="1"/>
  <c r="AC40" i="14"/>
  <c r="AC4" i="14"/>
  <c r="AC4" i="12" s="1"/>
  <c r="AB12" i="14"/>
  <c r="AB12" i="12" s="1"/>
  <c r="AC26" i="14"/>
  <c r="AC26" i="12" s="1"/>
  <c r="AB37" i="14"/>
  <c r="AB37" i="12" s="1"/>
  <c r="AB39" i="14"/>
  <c r="AB39" i="12" s="1"/>
  <c r="AB5" i="14"/>
  <c r="AB5" i="12" s="1"/>
  <c r="AC14" i="14"/>
  <c r="AC14" i="12" s="1"/>
  <c r="AC33" i="14"/>
  <c r="AC33" i="12" s="1"/>
  <c r="AB27" i="14"/>
  <c r="AB27" i="12" s="1"/>
  <c r="AC9" i="14"/>
  <c r="AC9" i="12" s="1"/>
  <c r="AB21" i="14"/>
  <c r="AB21" i="12" s="1"/>
  <c r="AC13" i="14"/>
  <c r="AC13" i="12" s="1"/>
  <c r="AC30" i="14"/>
  <c r="AC30" i="12" s="1"/>
  <c r="AB22" i="14"/>
  <c r="AB22" i="12" s="1"/>
  <c r="AB38" i="14"/>
  <c r="AB38" i="12" s="1"/>
  <c r="AB36" i="14"/>
  <c r="AB36" i="12" s="1"/>
  <c r="AC34" i="14"/>
  <c r="AC34" i="12" s="1"/>
  <c r="AB4" i="14"/>
  <c r="AB4" i="12" s="1"/>
  <c r="AB34" i="14"/>
  <c r="AC16" i="14"/>
  <c r="AC16" i="12" s="1"/>
  <c r="AC6" i="14"/>
  <c r="AC6" i="12" s="1"/>
  <c r="AC35" i="14"/>
  <c r="AC35" i="12" s="1"/>
  <c r="AB14" i="14"/>
  <c r="AB14" i="12" s="1"/>
  <c r="AB15" i="14"/>
  <c r="AB15" i="12" s="1"/>
  <c r="AB16" i="14"/>
  <c r="AB16" i="12" s="1"/>
  <c r="AC7" i="14"/>
  <c r="AC7" i="12" s="1"/>
  <c r="AF33" i="14"/>
  <c r="AB41" i="14"/>
  <c r="AB41" i="12" s="1"/>
  <c r="AC36" i="14"/>
  <c r="AC36" i="12" s="1"/>
  <c r="AF6" i="14"/>
  <c r="AF29" i="14"/>
  <c r="AF30" i="14"/>
  <c r="AF38" i="14"/>
  <c r="AF26" i="14"/>
  <c r="AF39" i="14"/>
  <c r="AF10" i="14"/>
  <c r="AF5" i="14"/>
  <c r="AF22" i="14"/>
  <c r="AF17" i="14"/>
  <c r="AF40" i="14"/>
  <c r="AF13" i="14"/>
  <c r="AF34" i="14"/>
  <c r="AF24" i="14"/>
  <c r="AF21" i="14"/>
  <c r="AF41" i="14"/>
  <c r="AF43" i="14"/>
  <c r="AF36" i="14"/>
  <c r="AF23" i="14"/>
  <c r="AF19" i="14"/>
  <c r="AF27" i="14"/>
  <c r="AF25" i="14"/>
  <c r="AF7" i="14"/>
  <c r="AF11" i="14"/>
  <c r="AF15" i="14"/>
  <c r="AF20" i="14"/>
  <c r="AF28" i="14"/>
  <c r="AF8" i="14"/>
  <c r="AF32" i="14"/>
  <c r="AF12" i="14"/>
  <c r="AF16" i="14"/>
  <c r="K33" i="10"/>
  <c r="J41" i="10"/>
  <c r="H41" i="10"/>
  <c r="H42" i="10"/>
  <c r="G25" i="10"/>
  <c r="H25" i="10" s="1"/>
  <c r="H26" i="10"/>
  <c r="G16" i="10"/>
  <c r="AB3" i="12" l="1"/>
  <c r="AD3" i="14"/>
  <c r="AE3" i="14" s="1"/>
  <c r="AD40" i="14"/>
  <c r="AD40" i="12" s="1"/>
  <c r="AC40" i="12"/>
  <c r="AD11" i="14"/>
  <c r="AD11" i="12" s="1"/>
  <c r="AB11" i="12"/>
  <c r="AD24" i="14"/>
  <c r="AD24" i="12" s="1"/>
  <c r="AD34" i="14"/>
  <c r="AD34" i="12" s="1"/>
  <c r="AB34" i="12"/>
  <c r="AD37" i="14"/>
  <c r="AD37" i="12" s="1"/>
  <c r="AD23" i="14"/>
  <c r="AD23" i="12" s="1"/>
  <c r="AD42" i="14"/>
  <c r="AD42" i="12" s="1"/>
  <c r="AD25" i="14"/>
  <c r="AD25" i="12" s="1"/>
  <c r="AD8" i="14"/>
  <c r="AD8" i="12" s="1"/>
  <c r="AD29" i="14"/>
  <c r="AD29" i="12" s="1"/>
  <c r="AD17" i="14"/>
  <c r="AD17" i="12" s="1"/>
  <c r="AD26" i="14"/>
  <c r="AD26" i="12" s="1"/>
  <c r="AD20" i="14"/>
  <c r="AD20" i="12" s="1"/>
  <c r="AD27" i="14"/>
  <c r="AD27" i="12" s="1"/>
  <c r="AD43" i="14"/>
  <c r="AD43" i="12" s="1"/>
  <c r="AD7" i="14"/>
  <c r="AD7" i="12" s="1"/>
  <c r="AD4" i="14"/>
  <c r="AD4" i="12" s="1"/>
  <c r="AD30" i="14"/>
  <c r="AD30" i="12" s="1"/>
  <c r="AD32" i="14"/>
  <c r="AD13" i="14"/>
  <c r="AD13" i="12" s="1"/>
  <c r="AD21" i="14"/>
  <c r="AD21" i="12" s="1"/>
  <c r="AD6" i="14"/>
  <c r="AD6" i="12" s="1"/>
  <c r="AD14" i="14"/>
  <c r="AD14" i="12" s="1"/>
  <c r="AD41" i="14"/>
  <c r="AD41" i="12" s="1"/>
  <c r="AD36" i="14"/>
  <c r="AD36" i="12" s="1"/>
  <c r="AD39" i="14"/>
  <c r="AD39" i="12" s="1"/>
  <c r="AD9" i="14"/>
  <c r="AD9" i="12" s="1"/>
  <c r="AD35" i="14"/>
  <c r="AD35" i="12" s="1"/>
  <c r="AD31" i="14"/>
  <c r="AD31" i="12" s="1"/>
  <c r="AD5" i="14"/>
  <c r="AD5" i="12" s="1"/>
  <c r="AD33" i="14"/>
  <c r="AD33" i="12" s="1"/>
  <c r="AD38" i="14"/>
  <c r="AD38" i="12" s="1"/>
  <c r="AD10" i="14"/>
  <c r="AD10" i="12" s="1"/>
  <c r="AD18" i="14"/>
  <c r="AD18" i="12" s="1"/>
  <c r="AD19" i="14"/>
  <c r="AD19" i="12" s="1"/>
  <c r="AD28" i="14"/>
  <c r="AD28" i="12" s="1"/>
  <c r="AD16" i="14"/>
  <c r="AD16" i="12" s="1"/>
  <c r="AD22" i="14"/>
  <c r="AD22" i="12" s="1"/>
  <c r="AD15" i="14"/>
  <c r="AD15" i="12" s="1"/>
  <c r="AD12" i="14"/>
  <c r="AD12" i="12" s="1"/>
  <c r="G14" i="10"/>
  <c r="H14" i="10" s="1"/>
  <c r="H16" i="10"/>
  <c r="AD3" i="12" l="1"/>
  <c r="AE32" i="14"/>
  <c r="AE32" i="12" s="1"/>
  <c r="AD32" i="12"/>
  <c r="AE3" i="12"/>
  <c r="AE4" i="14"/>
  <c r="AE4" i="12" s="1"/>
  <c r="AE41" i="14"/>
  <c r="AE41" i="12" s="1"/>
  <c r="AE42" i="14"/>
  <c r="AE42" i="12" s="1"/>
  <c r="AE24" i="14"/>
  <c r="AE24" i="12" s="1"/>
  <c r="AE40" i="14"/>
  <c r="AE40" i="12" s="1"/>
  <c r="AE43" i="14"/>
  <c r="AE43" i="12" s="1"/>
  <c r="AE14" i="14"/>
  <c r="AE14" i="12" s="1"/>
  <c r="AE34" i="14"/>
  <c r="AE34" i="12" s="1"/>
  <c r="AE35" i="14"/>
  <c r="AE35" i="12" s="1"/>
  <c r="AE33" i="14"/>
  <c r="AE33" i="12" s="1"/>
  <c r="AE21" i="14"/>
  <c r="AE21" i="12" s="1"/>
  <c r="AE37" i="14"/>
  <c r="AE37" i="12" s="1"/>
  <c r="AE12" i="14"/>
  <c r="AE12" i="12" s="1"/>
  <c r="AE19" i="14"/>
  <c r="AE19" i="12" s="1"/>
  <c r="AE20" i="14"/>
  <c r="AE20" i="12" s="1"/>
  <c r="AE25" i="14"/>
  <c r="AE25" i="12" s="1"/>
  <c r="AE26" i="14"/>
  <c r="AE26" i="12" s="1"/>
  <c r="AE10" i="14"/>
  <c r="AE10" i="12" s="1"/>
  <c r="AE11" i="14"/>
  <c r="AE11" i="12" s="1"/>
  <c r="AE39" i="14"/>
  <c r="AE39" i="12" s="1"/>
  <c r="AE17" i="14"/>
  <c r="AE17" i="12" s="1"/>
  <c r="AE18" i="14"/>
  <c r="AE18" i="12" s="1"/>
  <c r="AE36" i="14"/>
  <c r="AE36" i="12" s="1"/>
  <c r="AE9" i="14"/>
  <c r="AE9" i="12" s="1"/>
  <c r="AE28" i="14"/>
  <c r="AE28" i="12" s="1"/>
  <c r="AE15" i="14"/>
  <c r="AE15" i="12" s="1"/>
  <c r="AE22" i="14"/>
  <c r="AE22" i="12" s="1"/>
  <c r="AE27" i="14"/>
  <c r="AE27" i="12" s="1"/>
  <c r="AE38" i="14"/>
  <c r="AE38" i="12" s="1"/>
  <c r="AE23" i="14"/>
  <c r="AE23" i="12" s="1"/>
  <c r="AE5" i="14"/>
  <c r="AE5" i="12" s="1"/>
  <c r="AE8" i="14"/>
  <c r="AE8" i="12" s="1"/>
  <c r="AE13" i="14"/>
  <c r="AE13" i="12" s="1"/>
  <c r="AE31" i="14"/>
  <c r="AE31" i="12" s="1"/>
  <c r="AE6" i="14"/>
  <c r="AE6" i="12" s="1"/>
  <c r="AE7" i="14"/>
  <c r="AE7" i="12" s="1"/>
  <c r="AE30" i="14"/>
  <c r="AE30" i="12" s="1"/>
  <c r="AE16" i="14"/>
  <c r="AE16" i="12" s="1"/>
  <c r="AE29" i="14"/>
  <c r="AE29" i="12" s="1"/>
  <c r="G15" i="10"/>
  <c r="H15" i="10" s="1"/>
</calcChain>
</file>

<file path=xl/sharedStrings.xml><?xml version="1.0" encoding="utf-8"?>
<sst xmlns="http://schemas.openxmlformats.org/spreadsheetml/2006/main" count="970" uniqueCount="76">
  <si>
    <t>COLORADO ECOLOICAL INTEGRITY ASSESSMENT (EIA) SCORECARD</t>
  </si>
  <si>
    <t>Made by: Colorado Natural Heritage Program,   Version: June 11, 2025</t>
  </si>
  <si>
    <t>Site ID:</t>
  </si>
  <si>
    <t>Site Name:</t>
  </si>
  <si>
    <t>Project:</t>
  </si>
  <si>
    <t>Date</t>
  </si>
  <si>
    <t>Ecol System:</t>
  </si>
  <si>
    <t>HGM:</t>
  </si>
  <si>
    <t>Cowardin:</t>
  </si>
  <si>
    <t>Wt</t>
  </si>
  <si>
    <t>Field Rating</t>
  </si>
  <si>
    <t>Field Points</t>
  </si>
  <si>
    <t>Calc Points</t>
  </si>
  <si>
    <t>Calc Rating</t>
  </si>
  <si>
    <t>Overall Ecological Integrity Score and Rank</t>
  </si>
  <si>
    <t>Overall Ecological Integrity + Size Score and Rank</t>
  </si>
  <si>
    <t>Rank Factor: LANDSCAPE CONTEXT</t>
  </si>
  <si>
    <t>LANDSCAPE METRICS</t>
  </si>
  <si>
    <t>L1. Contiguous Natural Land Cover</t>
  </si>
  <si>
    <t>L2. Land Use Index</t>
  </si>
  <si>
    <t>BUFFER METRICS</t>
  </si>
  <si>
    <t>B1. Perimeter with Natural Buffer</t>
  </si>
  <si>
    <t>n/a</t>
  </si>
  <si>
    <t>B2. Width of Natural Buffer</t>
  </si>
  <si>
    <t>B3.1. Condition of Natural Buffer - Veg</t>
  </si>
  <si>
    <t>B3.2. Condition of Natural Buffer - Soils</t>
  </si>
  <si>
    <t>Rank Factor: CONDITION</t>
  </si>
  <si>
    <t>VEGETATION METRICS</t>
  </si>
  <si>
    <t>V1. Native Plant Species Cover</t>
  </si>
  <si>
    <t>V2. Invasive Nonnative Plant Species Cover</t>
  </si>
  <si>
    <t>V3. Native Plant Species Composition</t>
  </si>
  <si>
    <t>V4. Vegetation Structure</t>
  </si>
  <si>
    <r>
      <t xml:space="preserve">V5. Regen. of Native Woody Species </t>
    </r>
    <r>
      <rPr>
        <b/>
        <sz val="11"/>
        <color theme="1"/>
        <rFont val="Calibri"/>
        <family val="2"/>
        <scheme val="minor"/>
      </rPr>
      <t>(opt.)</t>
    </r>
  </si>
  <si>
    <r>
      <t>V65. Coarse and Fine Woody Debris (</t>
    </r>
    <r>
      <rPr>
        <b/>
        <sz val="11"/>
        <color theme="1"/>
        <rFont val="Calibri"/>
        <family val="2"/>
        <scheme val="minor"/>
      </rPr>
      <t>opt.)</t>
    </r>
  </si>
  <si>
    <t>HYDROLOGY METRICS</t>
  </si>
  <si>
    <t>H1. Water Source</t>
  </si>
  <si>
    <t>H2. Hydroperiod</t>
  </si>
  <si>
    <t>H3. Hydrologic Connectivity</t>
  </si>
  <si>
    <t>PHYSIOCHEMISTRY METRICS</t>
  </si>
  <si>
    <t>S1. Soil Condition</t>
  </si>
  <si>
    <r>
      <t xml:space="preserve">S2. Surface Water Turbidity / Pollutants </t>
    </r>
    <r>
      <rPr>
        <b/>
        <sz val="11"/>
        <color theme="1"/>
        <rFont val="Calibri"/>
        <family val="2"/>
        <scheme val="minor"/>
      </rPr>
      <t>(opt.)</t>
    </r>
  </si>
  <si>
    <r>
      <t xml:space="preserve">S3. Algal Growth  </t>
    </r>
    <r>
      <rPr>
        <b/>
        <sz val="11"/>
        <color theme="1"/>
        <rFont val="Calibri"/>
        <family val="2"/>
        <scheme val="minor"/>
      </rPr>
      <t>(opt.)</t>
    </r>
  </si>
  <si>
    <t xml:space="preserve">Rank Factor: SIZE </t>
  </si>
  <si>
    <t>SIZE METRICS</t>
  </si>
  <si>
    <r>
      <t>Z1. Comparative Size</t>
    </r>
    <r>
      <rPr>
        <b/>
        <sz val="11"/>
        <color theme="1"/>
        <rFont val="Calibri"/>
        <family val="2"/>
        <scheme val="minor"/>
      </rPr>
      <t xml:space="preserve"> (opt.)</t>
    </r>
  </si>
  <si>
    <r>
      <t xml:space="preserve">Z2. Change in Size </t>
    </r>
    <r>
      <rPr>
        <b/>
        <sz val="11"/>
        <color theme="1"/>
        <rFont val="Calibri"/>
        <family val="2"/>
        <scheme val="minor"/>
      </rPr>
      <t>(opt.)</t>
    </r>
  </si>
  <si>
    <t>C</t>
  </si>
  <si>
    <t>B</t>
  </si>
  <si>
    <t>A</t>
  </si>
  <si>
    <t>C-</t>
  </si>
  <si>
    <t>Input field metric letter ratings into empty boxes to calculate Rank Factor and Final EIA Scores. Fill in all metrics that are not marked as optional. Optional metrics depend on method used and wetland type.</t>
  </si>
  <si>
    <t>Landscape metrics</t>
  </si>
  <si>
    <t>Buffer Metrics</t>
  </si>
  <si>
    <t>Vegetation Metrics</t>
  </si>
  <si>
    <t>Hydrology Metrics</t>
  </si>
  <si>
    <t>Size Metrics</t>
  </si>
  <si>
    <t>TIA_ID</t>
  </si>
  <si>
    <t>Physiochemistry</t>
  </si>
  <si>
    <r>
      <t>V6. Coarse and Fine Woody Debris (</t>
    </r>
    <r>
      <rPr>
        <b/>
        <sz val="11"/>
        <color theme="1"/>
        <rFont val="Calibri"/>
        <family val="2"/>
        <scheme val="minor"/>
      </rPr>
      <t>opt.)</t>
    </r>
  </si>
  <si>
    <t>Overall EIA + Size Score and Rank</t>
  </si>
  <si>
    <t>Landscape Context score</t>
  </si>
  <si>
    <t>Overall EIA score</t>
  </si>
  <si>
    <t>Overall Score</t>
  </si>
  <si>
    <t>Total</t>
  </si>
  <si>
    <t>5 point scale</t>
  </si>
  <si>
    <t>NA</t>
  </si>
  <si>
    <t>D</t>
  </si>
  <si>
    <t>a</t>
  </si>
  <si>
    <t>b</t>
  </si>
  <si>
    <t>size index</t>
  </si>
  <si>
    <t xml:space="preserve">Vegetation Metrics </t>
  </si>
  <si>
    <t>Condition</t>
  </si>
  <si>
    <t>Total EIA score</t>
  </si>
  <si>
    <t xml:space="preserve">Overall EIA + Size Score </t>
  </si>
  <si>
    <t xml:space="preserve"> </t>
  </si>
  <si>
    <t>Condition Score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</si>
</sst>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0" x14ac:knownFonts="1">
    <font>
      <sz val="11"/>
      <color theme="1"/>
      <name val="Calibri"/>
      <family val="2"/>
      <scheme val="minor"/>
    </font>
    <font>
      <b/>
      <sz val="11"/>
      <color theme="1"/>
      <name val="Calibri"/>
      <family val="2"/>
      <scheme val="minor"/>
    </font>
    <font>
      <b/>
      <sz val="12"/>
      <color theme="1"/>
      <name val="Calibri"/>
      <family val="2"/>
      <scheme val="minor"/>
    </font>
    <font>
      <b/>
      <sz val="14"/>
      <color theme="1"/>
      <name val="Calibri"/>
      <family val="2"/>
      <scheme val="minor"/>
    </font>
    <font>
      <sz val="9"/>
      <color theme="1"/>
      <name val="Calibri"/>
      <family val="2"/>
      <scheme val="minor"/>
    </font>
    <font>
      <sz val="12"/>
      <color theme="1"/>
      <name val="Calibri"/>
      <family val="2"/>
      <scheme val="minor"/>
    </font>
    <font>
      <i/>
      <sz val="11"/>
      <color theme="1"/>
      <name val="Calibri"/>
      <family val="2"/>
      <scheme val="minor"/>
    </font>
    <font>
      <sz val="11"/>
      <name val="Calibri"/>
      <family val="2"/>
      <scheme val="minor"/>
    </font>
    <font>
      <sz val="10"/>
      <name val="Arial"/>
      <family val="2"/>
    </font>
    <font>
      <b/>
      <sz val="11"/>
      <color theme="0"/>
      <name val="Calibri"/>
      <family val="2"/>
      <scheme val="minor"/>
    </font>
  </fonts>
  <fills count="14">
    <fill>
      <patternFill patternType="none"/>
    </fill>
    <fill>
      <patternFill patternType="gray125"/>
    </fill>
    <fill>
      <patternFill patternType="solid">
        <fgColor rgb="FFFFFF99"/>
        <bgColor indexed="64"/>
      </patternFill>
    </fill>
    <fill>
      <patternFill patternType="solid">
        <fgColor theme="6" tint="0.39997558519241921"/>
        <bgColor indexed="64"/>
      </patternFill>
    </fill>
    <fill>
      <patternFill patternType="solid">
        <fgColor theme="4" tint="0.59999389629810485"/>
        <bgColor indexed="64"/>
      </patternFill>
    </fill>
    <fill>
      <patternFill patternType="solid">
        <fgColor theme="5" tint="0.39997558519241921"/>
        <bgColor indexed="64"/>
      </patternFill>
    </fill>
    <fill>
      <patternFill patternType="solid">
        <fgColor theme="4" tint="-0.249977111117893"/>
        <bgColor indexed="64"/>
      </patternFill>
    </fill>
    <fill>
      <patternFill patternType="solid">
        <fgColor theme="4" tint="0.39997558519241921"/>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theme="0" tint="-0.499984740745262"/>
        <bgColor indexed="64"/>
      </patternFill>
    </fill>
    <fill>
      <patternFill patternType="solid">
        <fgColor rgb="FFFFFF00"/>
        <bgColor indexed="64"/>
      </patternFill>
    </fill>
    <fill>
      <patternFill patternType="solid">
        <fgColor rgb="FF92D050"/>
        <bgColor indexed="64"/>
      </patternFill>
    </fill>
    <fill>
      <patternFill patternType="solid">
        <fgColor theme="9" tint="-0.249977111117893"/>
        <bgColor indexed="64"/>
      </patternFill>
    </fill>
  </fills>
  <borders count="12">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bottom/>
      <diagonal/>
    </border>
  </borders>
  <cellStyleXfs count="1">
    <xf numFmtId="0" fontId="0" fillId="0" borderId="0"/>
  </cellStyleXfs>
  <cellXfs count="82">
    <xf numFmtId="0" fontId="0" fillId="0" borderId="0" xfId="0"/>
    <xf numFmtId="0" fontId="0" fillId="3" borderId="0" xfId="0" applyFill="1"/>
    <xf numFmtId="0" fontId="0" fillId="4" borderId="0" xfId="0" applyFill="1"/>
    <xf numFmtId="0" fontId="0" fillId="5" borderId="0" xfId="0" applyFill="1"/>
    <xf numFmtId="0" fontId="1" fillId="3" borderId="0" xfId="0" applyFont="1" applyFill="1"/>
    <xf numFmtId="0" fontId="1" fillId="0" borderId="0" xfId="0" applyFont="1"/>
    <xf numFmtId="0" fontId="1" fillId="5" borderId="0" xfId="0" applyFont="1" applyFill="1"/>
    <xf numFmtId="0" fontId="1" fillId="0" borderId="0" xfId="0" applyFont="1" applyAlignment="1">
      <alignment horizontal="center"/>
    </xf>
    <xf numFmtId="0" fontId="1" fillId="0" borderId="0" xfId="0" applyFont="1" applyAlignment="1">
      <alignment horizontal="center" wrapText="1"/>
    </xf>
    <xf numFmtId="0" fontId="0" fillId="0" borderId="1" xfId="0" applyBorder="1"/>
    <xf numFmtId="0" fontId="0" fillId="3" borderId="0" xfId="0" applyFill="1" applyAlignment="1">
      <alignment horizontal="center"/>
    </xf>
    <xf numFmtId="0" fontId="0" fillId="5" borderId="0" xfId="0" applyFill="1" applyAlignment="1">
      <alignment horizontal="center"/>
    </xf>
    <xf numFmtId="0" fontId="0" fillId="4" borderId="0" xfId="0" applyFill="1" applyAlignment="1">
      <alignment horizontal="center"/>
    </xf>
    <xf numFmtId="2" fontId="0" fillId="5" borderId="0" xfId="0" applyNumberFormat="1" applyFill="1" applyAlignment="1">
      <alignment horizontal="center"/>
    </xf>
    <xf numFmtId="2" fontId="0" fillId="3" borderId="0" xfId="0" applyNumberFormat="1" applyFill="1" applyAlignment="1">
      <alignment horizontal="center"/>
    </xf>
    <xf numFmtId="2" fontId="1" fillId="3" borderId="0" xfId="0" applyNumberFormat="1" applyFont="1" applyFill="1" applyAlignment="1">
      <alignment horizontal="center"/>
    </xf>
    <xf numFmtId="0" fontId="1" fillId="3" borderId="0" xfId="0" applyFont="1" applyFill="1" applyAlignment="1">
      <alignment horizontal="center"/>
    </xf>
    <xf numFmtId="2" fontId="1" fillId="5" borderId="0" xfId="0" applyNumberFormat="1" applyFont="1" applyFill="1" applyAlignment="1">
      <alignment horizontal="center"/>
    </xf>
    <xf numFmtId="0" fontId="1" fillId="5" borderId="0" xfId="0" applyFont="1" applyFill="1" applyAlignment="1">
      <alignment horizontal="center"/>
    </xf>
    <xf numFmtId="0" fontId="1" fillId="4" borderId="0" xfId="0" applyFont="1" applyFill="1" applyAlignment="1">
      <alignment horizontal="center"/>
    </xf>
    <xf numFmtId="0" fontId="0" fillId="4" borderId="3" xfId="0" applyFill="1" applyBorder="1" applyAlignment="1">
      <alignment horizontal="center"/>
    </xf>
    <xf numFmtId="0" fontId="0" fillId="4" borderId="4" xfId="0" applyFill="1" applyBorder="1" applyAlignment="1">
      <alignment horizontal="center"/>
    </xf>
    <xf numFmtId="0" fontId="0" fillId="4" borderId="5" xfId="0" applyFill="1" applyBorder="1" applyAlignment="1">
      <alignment horizontal="center"/>
    </xf>
    <xf numFmtId="0" fontId="3" fillId="0" borderId="0" xfId="0" applyFont="1"/>
    <xf numFmtId="0" fontId="4" fillId="0" borderId="0" xfId="0" applyFont="1"/>
    <xf numFmtId="0" fontId="2" fillId="2" borderId="0" xfId="0" applyFont="1" applyFill="1"/>
    <xf numFmtId="0" fontId="5" fillId="2" borderId="0" xfId="0" applyFont="1" applyFill="1"/>
    <xf numFmtId="0" fontId="5" fillId="0" borderId="0" xfId="0" applyFont="1"/>
    <xf numFmtId="2" fontId="2" fillId="2" borderId="0" xfId="0" applyNumberFormat="1" applyFont="1" applyFill="1" applyAlignment="1">
      <alignment horizontal="center"/>
    </xf>
    <xf numFmtId="0" fontId="2" fillId="2" borderId="0" xfId="0" applyFont="1" applyFill="1" applyAlignment="1">
      <alignment horizontal="center"/>
    </xf>
    <xf numFmtId="0" fontId="0" fillId="0" borderId="6" xfId="0" applyBorder="1"/>
    <xf numFmtId="0" fontId="0" fillId="6" borderId="6" xfId="0" applyFill="1" applyBorder="1"/>
    <xf numFmtId="0" fontId="0" fillId="6" borderId="6" xfId="0" applyFill="1" applyBorder="1" applyAlignment="1">
      <alignment horizontal="left"/>
    </xf>
    <xf numFmtId="0" fontId="8" fillId="0" borderId="6" xfId="0" applyFont="1" applyBorder="1" applyAlignment="1">
      <alignment horizontal="left"/>
    </xf>
    <xf numFmtId="0" fontId="0" fillId="8" borderId="6" xfId="0" applyFill="1" applyBorder="1"/>
    <xf numFmtId="0" fontId="0" fillId="8" borderId="6" xfId="0" applyFill="1" applyBorder="1" applyAlignment="1">
      <alignment horizontal="left"/>
    </xf>
    <xf numFmtId="0" fontId="0" fillId="8" borderId="6" xfId="0" applyFill="1" applyBorder="1" applyAlignment="1">
      <alignment horizontal="center" vertical="center"/>
    </xf>
    <xf numFmtId="0" fontId="0" fillId="0" borderId="0" xfId="0" applyAlignment="1">
      <alignment horizontal="center" vertical="center"/>
    </xf>
    <xf numFmtId="0" fontId="0" fillId="0" borderId="5" xfId="0" applyBorder="1"/>
    <xf numFmtId="0" fontId="0" fillId="0" borderId="0" xfId="0" applyAlignment="1">
      <alignment horizontal="right"/>
    </xf>
    <xf numFmtId="0" fontId="0" fillId="0" borderId="6" xfId="0" applyBorder="1" applyAlignment="1">
      <alignment horizontal="center"/>
    </xf>
    <xf numFmtId="0" fontId="0" fillId="7" borderId="7" xfId="0" applyFill="1" applyBorder="1"/>
    <xf numFmtId="0" fontId="0" fillId="6" borderId="4" xfId="0" applyFill="1" applyBorder="1"/>
    <xf numFmtId="0" fontId="7" fillId="7" borderId="1" xfId="0" applyFont="1" applyFill="1" applyBorder="1" applyAlignment="1">
      <alignment horizontal="left"/>
    </xf>
    <xf numFmtId="2" fontId="0" fillId="8" borderId="6" xfId="0" applyNumberFormat="1" applyFill="1" applyBorder="1"/>
    <xf numFmtId="164" fontId="0" fillId="8" borderId="6" xfId="0" applyNumberFormat="1" applyFill="1" applyBorder="1"/>
    <xf numFmtId="0" fontId="5" fillId="7" borderId="9" xfId="0" applyFont="1" applyFill="1" applyBorder="1"/>
    <xf numFmtId="0" fontId="7" fillId="7" borderId="1" xfId="0" applyFont="1" applyFill="1" applyBorder="1" applyAlignment="1">
      <alignment horizontal="center"/>
    </xf>
    <xf numFmtId="0" fontId="0" fillId="0" borderId="0" xfId="0" applyAlignment="1">
      <alignment horizontal="center"/>
    </xf>
    <xf numFmtId="2" fontId="0" fillId="9" borderId="6" xfId="0" applyNumberFormat="1" applyFill="1" applyBorder="1" applyAlignment="1">
      <alignment horizontal="center"/>
    </xf>
    <xf numFmtId="2" fontId="0" fillId="9" borderId="6" xfId="0" applyNumberFormat="1" applyFill="1" applyBorder="1" applyAlignment="1">
      <alignment horizontal="left"/>
    </xf>
    <xf numFmtId="0" fontId="7" fillId="10" borderId="6" xfId="0" applyFont="1" applyFill="1" applyBorder="1"/>
    <xf numFmtId="0" fontId="5" fillId="7" borderId="1" xfId="0" applyFont="1" applyFill="1" applyBorder="1" applyAlignment="1">
      <alignment horizontal="center"/>
    </xf>
    <xf numFmtId="2" fontId="9" fillId="10" borderId="6" xfId="0" applyNumberFormat="1" applyFont="1" applyFill="1" applyBorder="1" applyAlignment="1">
      <alignment horizontal="center"/>
    </xf>
    <xf numFmtId="0" fontId="7" fillId="10" borderId="6" xfId="0" applyFont="1" applyFill="1" applyBorder="1" applyAlignment="1">
      <alignment horizontal="left"/>
    </xf>
    <xf numFmtId="0" fontId="7" fillId="8" borderId="4" xfId="0" applyFont="1" applyFill="1" applyBorder="1" applyAlignment="1">
      <alignment horizontal="center" vertical="center"/>
    </xf>
    <xf numFmtId="0" fontId="7" fillId="8" borderId="6" xfId="0" applyFont="1" applyFill="1" applyBorder="1"/>
    <xf numFmtId="164" fontId="0" fillId="8" borderId="6" xfId="0" applyNumberFormat="1" applyFill="1" applyBorder="1" applyAlignment="1">
      <alignment horizontal="center"/>
    </xf>
    <xf numFmtId="2" fontId="0" fillId="8" borderId="6" xfId="0" applyNumberFormat="1" applyFill="1" applyBorder="1" applyAlignment="1">
      <alignment horizontal="center"/>
    </xf>
    <xf numFmtId="0" fontId="0" fillId="11" borderId="6" xfId="0" applyFill="1" applyBorder="1"/>
    <xf numFmtId="0" fontId="0" fillId="12" borderId="6" xfId="0" applyFill="1" applyBorder="1"/>
    <xf numFmtId="0" fontId="0" fillId="13" borderId="6" xfId="0" applyFill="1" applyBorder="1"/>
    <xf numFmtId="0" fontId="0" fillId="13" borderId="0" xfId="0" applyFill="1"/>
    <xf numFmtId="0" fontId="7" fillId="7" borderId="9" xfId="0" applyFont="1" applyFill="1" applyBorder="1" applyAlignment="1">
      <alignment horizontal="left"/>
    </xf>
    <xf numFmtId="0" fontId="7" fillId="7" borderId="1" xfId="0" applyFont="1" applyFill="1" applyBorder="1" applyAlignment="1">
      <alignment horizontal="left"/>
    </xf>
    <xf numFmtId="0" fontId="7" fillId="7" borderId="10" xfId="0" applyFont="1" applyFill="1" applyBorder="1" applyAlignment="1">
      <alignment horizontal="left"/>
    </xf>
    <xf numFmtId="0" fontId="0" fillId="7" borderId="7" xfId="0" applyFill="1" applyBorder="1" applyAlignment="1">
      <alignment horizontal="left"/>
    </xf>
    <xf numFmtId="0" fontId="0" fillId="7" borderId="2" xfId="0" applyFill="1" applyBorder="1" applyAlignment="1">
      <alignment horizontal="left"/>
    </xf>
    <xf numFmtId="0" fontId="0" fillId="7" borderId="8" xfId="0" applyFill="1" applyBorder="1" applyAlignment="1">
      <alignment horizontal="left"/>
    </xf>
    <xf numFmtId="0" fontId="7" fillId="7" borderId="7" xfId="0" applyFont="1" applyFill="1" applyBorder="1" applyAlignment="1">
      <alignment horizontal="left"/>
    </xf>
    <xf numFmtId="0" fontId="7" fillId="7" borderId="2" xfId="0" applyFont="1" applyFill="1" applyBorder="1" applyAlignment="1">
      <alignment horizontal="left"/>
    </xf>
    <xf numFmtId="0" fontId="7" fillId="7" borderId="8" xfId="0" applyFont="1" applyFill="1" applyBorder="1" applyAlignment="1">
      <alignment horizontal="left"/>
    </xf>
    <xf numFmtId="0" fontId="0" fillId="7" borderId="9" xfId="0" applyFill="1" applyBorder="1" applyAlignment="1">
      <alignment horizontal="left"/>
    </xf>
    <xf numFmtId="0" fontId="0" fillId="7" borderId="1" xfId="0" applyFill="1" applyBorder="1" applyAlignment="1">
      <alignment horizontal="left"/>
    </xf>
    <xf numFmtId="0" fontId="0" fillId="7" borderId="10" xfId="0" applyFill="1" applyBorder="1" applyAlignment="1">
      <alignment horizontal="left"/>
    </xf>
    <xf numFmtId="0" fontId="5" fillId="7" borderId="9" xfId="0" applyFont="1" applyFill="1" applyBorder="1" applyAlignment="1">
      <alignment horizontal="left"/>
    </xf>
    <xf numFmtId="0" fontId="5" fillId="7" borderId="1" xfId="0" applyFont="1" applyFill="1" applyBorder="1" applyAlignment="1">
      <alignment horizontal="left"/>
    </xf>
    <xf numFmtId="0" fontId="0" fillId="7" borderId="0" xfId="0" applyFill="1" applyAlignment="1">
      <alignment horizontal="left"/>
    </xf>
    <xf numFmtId="0" fontId="0" fillId="7" borderId="11" xfId="0" applyFill="1" applyBorder="1" applyAlignment="1">
      <alignment horizontal="left"/>
    </xf>
    <xf numFmtId="0" fontId="0" fillId="0" borderId="2" xfId="0" applyBorder="1" applyAlignment="1">
      <alignment horizontal="left"/>
    </xf>
    <xf numFmtId="0" fontId="6" fillId="0" borderId="0" xfId="0" applyFont="1" applyAlignment="1">
      <alignment horizontal="left" vertical="top" wrapText="1"/>
    </xf>
    <xf numFmtId="0" fontId="0" fillId="0" borderId="1" xfId="0" applyBorder="1" applyAlignment="1">
      <alignment horizontal="left"/>
    </xf>
  </cellXfs>
  <cellStyles count="1">
    <cellStyle name="Normal" xfId="0" builtinId="0"/>
  </cellStyles>
  <dxfs count="0"/>
  <tableStyles count="0" defaultTableStyle="TableStyleMedium2" defaultPivotStyle="PivotStyleLight16"/>
  <colors>
    <mruColors>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0</xdr:colOff>
      <xdr:row>0</xdr:row>
      <xdr:rowOff>0</xdr:rowOff>
    </xdr:from>
    <xdr:to>
      <xdr:col>8</xdr:col>
      <xdr:colOff>19049</xdr:colOff>
      <xdr:row>4</xdr:row>
      <xdr:rowOff>55147</xdr:rowOff>
    </xdr:to>
    <xdr:pic>
      <xdr:nvPicPr>
        <xdr:cNvPr id="2" name="Picture 1">
          <a:extLst>
            <a:ext uri="{FF2B5EF4-FFF2-40B4-BE49-F238E27FC236}">
              <a16:creationId xmlns:a16="http://schemas.microsoft.com/office/drawing/2014/main" id="{D936FBBF-BEEF-4310-866B-5BF3AAA936AC}"/>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18300" b="12631"/>
        <a:stretch/>
      </xdr:blipFill>
      <xdr:spPr>
        <a:xfrm>
          <a:off x="5537200" y="0"/>
          <a:ext cx="1238249" cy="833022"/>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85F811-E33D-485D-BE51-110DA7D43E55}">
  <dimension ref="A1:AF48"/>
  <sheetViews>
    <sheetView tabSelected="1" zoomScale="97" workbookViewId="0">
      <pane ySplit="2" topLeftCell="A3" activePane="bottomLeft" state="frozen"/>
      <selection activeCell="B2" sqref="B1:B1048576"/>
      <selection pane="bottomLeft" activeCell="A3" sqref="A3:AE43"/>
    </sheetView>
  </sheetViews>
  <sheetFormatPr defaultRowHeight="15" x14ac:dyDescent="0.25"/>
  <cols>
    <col min="1" max="1" width="8.28515625" customWidth="1"/>
    <col min="2" max="2" width="7.5703125" customWidth="1"/>
    <col min="3" max="3" width="8.28515625" customWidth="1"/>
    <col min="4" max="4" width="9.140625" style="37" customWidth="1"/>
    <col min="5" max="5" width="6" customWidth="1"/>
    <col min="6" max="6" width="6.28515625" customWidth="1"/>
    <col min="7" max="7" width="5.28515625" customWidth="1"/>
    <col min="8" max="8" width="6.7109375" customWidth="1"/>
    <col min="9" max="9" width="8" customWidth="1"/>
    <col min="10" max="10" width="6.5703125" customWidth="1"/>
    <col min="11" max="11" width="6.42578125" customWidth="1"/>
    <col min="12" max="12" width="6.28515625" customWidth="1"/>
    <col min="13" max="13" width="5.7109375" customWidth="1"/>
    <col min="14" max="14" width="6.7109375" customWidth="1"/>
    <col min="15" max="16" width="7.28515625" customWidth="1"/>
    <col min="17" max="17" width="7.42578125" customWidth="1"/>
    <col min="18" max="18" width="6.42578125" customWidth="1"/>
    <col min="19" max="19" width="5.7109375" customWidth="1"/>
    <col min="20" max="20" width="7" customWidth="1"/>
    <col min="21" max="24" width="7.28515625" customWidth="1"/>
    <col min="25" max="25" width="5.7109375" customWidth="1"/>
    <col min="26" max="26" width="5.5703125" customWidth="1"/>
    <col min="27" max="27" width="7.42578125" customWidth="1"/>
    <col min="28" max="28" width="10.85546875" customWidth="1"/>
    <col min="29" max="29" width="11" customWidth="1"/>
    <col min="30" max="30" width="12.5703125" customWidth="1"/>
    <col min="31" max="31" width="13.28515625" customWidth="1"/>
    <col min="32" max="32" width="8.85546875" customWidth="1"/>
  </cols>
  <sheetData>
    <row r="1" spans="1:32" ht="15.75" x14ac:dyDescent="0.25">
      <c r="A1" s="41"/>
      <c r="B1" s="77" t="s">
        <v>51</v>
      </c>
      <c r="C1" s="77"/>
      <c r="D1" s="78"/>
      <c r="E1" s="67" t="s">
        <v>52</v>
      </c>
      <c r="F1" s="67"/>
      <c r="G1" s="67"/>
      <c r="H1" s="67"/>
      <c r="I1" s="68"/>
      <c r="J1" s="66" t="s">
        <v>53</v>
      </c>
      <c r="K1" s="67"/>
      <c r="L1" s="67"/>
      <c r="M1" s="67"/>
      <c r="N1" s="67"/>
      <c r="O1" s="67"/>
      <c r="P1" s="68"/>
      <c r="Q1" s="72" t="s">
        <v>54</v>
      </c>
      <c r="R1" s="73"/>
      <c r="S1" s="73"/>
      <c r="T1" s="74"/>
      <c r="U1" s="72" t="s">
        <v>57</v>
      </c>
      <c r="V1" s="73"/>
      <c r="W1" s="73"/>
      <c r="X1" s="74"/>
      <c r="Y1" s="63" t="s">
        <v>55</v>
      </c>
      <c r="Z1" s="64"/>
      <c r="AA1" s="65"/>
      <c r="AB1" s="43"/>
      <c r="AC1" s="43"/>
      <c r="AD1" s="75" t="s">
        <v>62</v>
      </c>
      <c r="AE1" s="76"/>
    </row>
    <row r="2" spans="1:32" x14ac:dyDescent="0.25">
      <c r="A2" s="31" t="s">
        <v>56</v>
      </c>
      <c r="B2" s="42" t="s">
        <v>18</v>
      </c>
      <c r="C2" s="42" t="s">
        <v>19</v>
      </c>
      <c r="D2" s="55" t="s">
        <v>63</v>
      </c>
      <c r="E2" s="31" t="s">
        <v>21</v>
      </c>
      <c r="F2" s="31" t="s">
        <v>23</v>
      </c>
      <c r="G2" s="31" t="s">
        <v>24</v>
      </c>
      <c r="H2" s="31" t="s">
        <v>25</v>
      </c>
      <c r="I2" s="56" t="s">
        <v>63</v>
      </c>
      <c r="J2" s="31" t="s">
        <v>28</v>
      </c>
      <c r="K2" s="31" t="s">
        <v>29</v>
      </c>
      <c r="L2" s="31" t="s">
        <v>30</v>
      </c>
      <c r="M2" s="31" t="s">
        <v>31</v>
      </c>
      <c r="N2" s="31" t="s">
        <v>32</v>
      </c>
      <c r="O2" s="59" t="s">
        <v>58</v>
      </c>
      <c r="P2" s="56" t="s">
        <v>63</v>
      </c>
      <c r="Q2" s="31" t="s">
        <v>35</v>
      </c>
      <c r="R2" s="31" t="s">
        <v>36</v>
      </c>
      <c r="S2" s="31" t="s">
        <v>37</v>
      </c>
      <c r="T2" s="56" t="s">
        <v>63</v>
      </c>
      <c r="U2" s="31" t="s">
        <v>39</v>
      </c>
      <c r="V2" s="31" t="s">
        <v>40</v>
      </c>
      <c r="W2" s="31" t="s">
        <v>41</v>
      </c>
      <c r="X2" s="56" t="s">
        <v>63</v>
      </c>
      <c r="Y2" s="31" t="s">
        <v>44</v>
      </c>
      <c r="Z2" s="32" t="s">
        <v>45</v>
      </c>
      <c r="AA2" s="35" t="s">
        <v>63</v>
      </c>
      <c r="AB2" s="50" t="s">
        <v>60</v>
      </c>
      <c r="AC2" s="50" t="s">
        <v>75</v>
      </c>
      <c r="AD2" s="54" t="s">
        <v>61</v>
      </c>
      <c r="AE2" s="54" t="s">
        <v>73</v>
      </c>
      <c r="AF2" t="s">
        <v>74</v>
      </c>
    </row>
    <row r="3" spans="1:32" x14ac:dyDescent="0.25">
      <c r="A3" s="33">
        <v>515</v>
      </c>
      <c r="B3" s="30" t="s">
        <v>48</v>
      </c>
      <c r="C3" s="30" t="s">
        <v>48</v>
      </c>
      <c r="D3" s="36" t="str">
        <f>IF(score_n_equations!D3="NULL","NULL",IF(score_n_equations!D3&gt;=4.5,"A",IF(score_n_equations!D3&gt;=3.5,"B",IF(score_n_equations!D3&gt;=2.5,"C",IF(score_n_equations!D3&gt;0,"D")))))</f>
        <v>A</v>
      </c>
      <c r="E3" s="30" t="s">
        <v>48</v>
      </c>
      <c r="F3" s="30" t="s">
        <v>48</v>
      </c>
      <c r="G3" s="30" t="s">
        <v>47</v>
      </c>
      <c r="H3" s="30" t="s">
        <v>47</v>
      </c>
      <c r="I3" s="36" t="str">
        <f>IF(score_n_equations!I3="NULL","NULL",IF(score_n_equations!I3&gt;=4.5,"A",IF(score_n_equations!I3&gt;=3.5,"B",IF(score_n_equations!I3&gt;=2.5,"C",IF(score_n_equations!I3&gt;0,"D")))))</f>
        <v>B</v>
      </c>
      <c r="J3" s="59" t="s">
        <v>46</v>
      </c>
      <c r="K3" s="59" t="s">
        <v>47</v>
      </c>
      <c r="L3" s="30" t="s">
        <v>48</v>
      </c>
      <c r="M3" s="30" t="s">
        <v>48</v>
      </c>
      <c r="N3" s="30" t="s">
        <v>65</v>
      </c>
      <c r="O3" s="30" t="s">
        <v>65</v>
      </c>
      <c r="P3" s="36" t="str">
        <f>IF(score_n_equations!P3="NULL","NULL",IF(score_n_equations!P3&gt;=4.5,"A",IF(score_n_equations!P3&gt;=3.5,"B",IF(score_n_equations!P3&gt;=2.5,"C",IF(score_n_equations!P3&gt;0,"D")))))</f>
        <v>B</v>
      </c>
      <c r="Q3" s="30" t="s">
        <v>48</v>
      </c>
      <c r="R3" s="30" t="s">
        <v>48</v>
      </c>
      <c r="S3" s="30" t="s">
        <v>48</v>
      </c>
      <c r="T3" s="36" t="str">
        <f>IF(score_n_equations!T3="NULL","NULL",IF(score_n_equations!T3&gt;=4.5,"A",IF(score_n_equations!T3&gt;=3.5,"B",IF(score_n_equations!T3&gt;=2.5,"C",IF(score_n_equations!T3&gt;0,"D")))))</f>
        <v>A</v>
      </c>
      <c r="U3" s="30" t="s">
        <v>47</v>
      </c>
      <c r="V3" s="30" t="s">
        <v>48</v>
      </c>
      <c r="W3" s="30" t="s">
        <v>48</v>
      </c>
      <c r="X3" s="36" t="str">
        <f>IF(score_n_equations!X3="NULL","NULL",IF(score_n_equations!X3&gt;=4.5,"A",IF(score_n_equations!X3&gt;=3.5,"B",IF(score_n_equations!X3&gt;=2.5,"C",IF(score_n_equations!X3&gt;0,"D")))))</f>
        <v>A</v>
      </c>
      <c r="Y3" s="30" t="s">
        <v>47</v>
      </c>
      <c r="Z3" s="30" t="s">
        <v>48</v>
      </c>
      <c r="AA3" s="36" t="str">
        <f>IF(score_n_equations!AA3="NULL","NULL",IF(score_n_equations!AA3&gt;=4.5,"A",IF(score_n_equations!AA3&gt;=3.5,"B",IF(score_n_equations!AA3&gt;=2.5,"C",IF(score_n_equations!AA3&gt;0,"D")))))</f>
        <v>A</v>
      </c>
      <c r="AB3" s="49" t="str">
        <f>IF(score_n_equations!AB3="NULL","NULL",IF(score_n_equations!AB3&gt;=4.5,"A",IF(score_n_equations!AB3&gt;=3.5,"B",IF(score_n_equations!AB3&gt;=2.5,"C",IF(score_n_equations!AB3&gt;0,"D")))))</f>
        <v>A</v>
      </c>
      <c r="AC3" s="49" t="str">
        <f>IF(score_n_equations!AC3="NULL","NULL",IF(score_n_equations!AC3&gt;=4.5,"A",IF(score_n_equations!AC3&gt;=3.5,"B",IF(score_n_equations!AC3&gt;=2.5,"C",IF(score_n_equations!AC3&gt;0,"D")))))</f>
        <v>A</v>
      </c>
      <c r="AD3" s="53" t="str">
        <f>IF(score_n_equations!AD3="NULL","NULL",IF(score_n_equations!AD3&gt;=4.5,"A",IF(score_n_equations!AD3&gt;=3.5,"B",IF(score_n_equations!AD3&gt;=2.5,"C",IF(score_n_equations!AD3&gt;0,"D")))))</f>
        <v>A</v>
      </c>
      <c r="AE3" s="53" t="str">
        <f>IF(score_n_equations!AE3="NULL","NULL",IF(score_n_equations!AE3&gt;=4.5,"A",IF(score_n_equations!AE3&gt;=3.5,"B",IF(score_n_equations!AE3&gt;=2.5,"C",IF(score_n_equations!AE3&gt;0,"D")))))</f>
        <v>A</v>
      </c>
    </row>
    <row r="4" spans="1:32" x14ac:dyDescent="0.25">
      <c r="A4" s="33">
        <v>603</v>
      </c>
      <c r="B4" s="30" t="s">
        <v>48</v>
      </c>
      <c r="C4" s="30" t="s">
        <v>48</v>
      </c>
      <c r="D4" s="36" t="str">
        <f>IF(score_n_equations!D4="NULL","NULL",IF(score_n_equations!D4&gt;=4.5,"A",IF(score_n_equations!D4&gt;=3.5,"B",IF(score_n_equations!D4&gt;=2.5,"C",IF(score_n_equations!D4&gt;0,"D")))))</f>
        <v>A</v>
      </c>
      <c r="E4" s="30" t="s">
        <v>48</v>
      </c>
      <c r="F4" s="30" t="s">
        <v>48</v>
      </c>
      <c r="G4" s="30" t="s">
        <v>47</v>
      </c>
      <c r="H4" s="30" t="s">
        <v>47</v>
      </c>
      <c r="I4" s="36" t="str">
        <f>IF(score_n_equations!I4="NULL","NULL",IF(score_n_equations!I4&gt;=4.5,"A",IF(score_n_equations!I4&gt;=3.5,"B",IF(score_n_equations!I4&gt;=2.5,"C",IF(score_n_equations!I4&gt;0,"D")))))</f>
        <v>B</v>
      </c>
      <c r="J4" s="30" t="s">
        <v>49</v>
      </c>
      <c r="K4" s="30" t="s">
        <v>47</v>
      </c>
      <c r="L4" s="30" t="s">
        <v>46</v>
      </c>
      <c r="M4" s="30" t="s">
        <v>48</v>
      </c>
      <c r="N4" s="30" t="s">
        <v>65</v>
      </c>
      <c r="O4" s="30" t="s">
        <v>65</v>
      </c>
      <c r="P4" s="36" t="str">
        <f>IF(score_n_equations!P4="NULL","NULL",IF(score_n_equations!P4&gt;=4.5,"A",IF(score_n_equations!P4&gt;=3.5,"B",IF(score_n_equations!P4&gt;=2.5,"C",IF(score_n_equations!P4&gt;0,"D")))))</f>
        <v>B</v>
      </c>
      <c r="Q4" s="30" t="s">
        <v>48</v>
      </c>
      <c r="R4" s="30" t="s">
        <v>48</v>
      </c>
      <c r="S4" s="30" t="s">
        <v>47</v>
      </c>
      <c r="T4" s="36" t="str">
        <f>IF(score_n_equations!T4="NULL","NULL",IF(score_n_equations!T4&gt;=4.5,"A",IF(score_n_equations!T4&gt;=3.5,"B",IF(score_n_equations!T4&gt;=2.5,"C",IF(score_n_equations!T4&gt;0,"D")))))</f>
        <v>A</v>
      </c>
      <c r="U4" s="30" t="s">
        <v>46</v>
      </c>
      <c r="V4" s="30" t="s">
        <v>65</v>
      </c>
      <c r="W4" s="30" t="s">
        <v>65</v>
      </c>
      <c r="X4" s="36" t="str">
        <f>IF(score_n_equations!X4="NULL","NULL",IF(score_n_equations!X4&gt;=4.5,"A",IF(score_n_equations!X4&gt;=3.5,"B",IF(score_n_equations!X4&gt;=2.5,"C",IF(score_n_equations!X4&gt;0,"D")))))</f>
        <v>C</v>
      </c>
      <c r="Y4" s="30" t="s">
        <v>46</v>
      </c>
      <c r="Z4" s="30" t="s">
        <v>48</v>
      </c>
      <c r="AA4" s="36" t="str">
        <f>IF(score_n_equations!AA4="NULL","NULL",IF(score_n_equations!AA4&gt;=4.5,"A",IF(score_n_equations!AA4&gt;=3.5,"B",IF(score_n_equations!AA4&gt;=2.5,"C",IF(score_n_equations!AA4&gt;0,"D")))))</f>
        <v>B</v>
      </c>
      <c r="AB4" s="49" t="str">
        <f>IF(score_n_equations!AB4="NULL","NULL",IF(score_n_equations!AB4&gt;=4.5,"A",IF(score_n_equations!AB4&gt;=3.5,"B",IF(score_n_equations!AB4&gt;=2.5,"C",IF(score_n_equations!AB4&gt;0,"D")))))</f>
        <v>A</v>
      </c>
      <c r="AC4" s="49" t="str">
        <f>IF(score_n_equations!AC4="NULL","NULL",IF(score_n_equations!AC4&gt;=4.5,"A",IF(score_n_equations!AC4&gt;=3.5,"B",IF(score_n_equations!AC4&gt;=2.5,"C",IF(score_n_equations!AC4&gt;0,"D")))))</f>
        <v>B</v>
      </c>
      <c r="AD4" s="53" t="str">
        <f>IF(score_n_equations!AD4="NULL","NULL",IF(score_n_equations!AD4&gt;=4.5,"A",IF(score_n_equations!AD4&gt;=3.5,"B",IF(score_n_equations!AD4&gt;=2.5,"C",IF(score_n_equations!AD4&gt;0,"D")))))</f>
        <v>B</v>
      </c>
      <c r="AE4" s="53" t="str">
        <f>IF(score_n_equations!AE4="NULL","NULL",IF(score_n_equations!AE4&gt;=4.5,"A",IF(score_n_equations!AE4&gt;=3.5,"B",IF(score_n_equations!AE4&gt;=2.5,"C",IF(score_n_equations!AE4&gt;0,"D")))))</f>
        <v>A</v>
      </c>
    </row>
    <row r="5" spans="1:32" x14ac:dyDescent="0.25">
      <c r="A5" s="33">
        <v>667</v>
      </c>
      <c r="B5" s="30" t="s">
        <v>66</v>
      </c>
      <c r="C5" s="30" t="s">
        <v>66</v>
      </c>
      <c r="D5" s="36" t="str">
        <f>IF(score_n_equations!D5="NULL","NULL",IF(score_n_equations!D5&gt;=4.5,"A",IF(score_n_equations!D5&gt;=3.5,"B",IF(score_n_equations!D5&gt;=2.5,"C",IF(score_n_equations!D5&gt;0,"D")))))</f>
        <v>D</v>
      </c>
      <c r="E5" s="30" t="s">
        <v>46</v>
      </c>
      <c r="F5" s="30" t="s">
        <v>46</v>
      </c>
      <c r="G5" s="30" t="s">
        <v>46</v>
      </c>
      <c r="H5" s="30" t="s">
        <v>46</v>
      </c>
      <c r="I5" s="36" t="str">
        <f>IF(score_n_equations!I5="NULL","NULL",IF(score_n_equations!I5&gt;=4.5,"A",IF(score_n_equations!I5&gt;=3.5,"B",IF(score_n_equations!I5&gt;=2.5,"C",IF(score_n_equations!I5&gt;0,"D")))))</f>
        <v>C</v>
      </c>
      <c r="J5" s="30" t="s">
        <v>66</v>
      </c>
      <c r="K5" s="61" t="s">
        <v>46</v>
      </c>
      <c r="L5" s="30" t="s">
        <v>46</v>
      </c>
      <c r="M5" s="30" t="s">
        <v>47</v>
      </c>
      <c r="N5" s="30" t="s">
        <v>47</v>
      </c>
      <c r="O5" s="30" t="s">
        <v>46</v>
      </c>
      <c r="P5" s="36" t="str">
        <f>IF(score_n_equations!P5="NULL","NULL",IF(score_n_equations!P5&gt;=4.5,"A",IF(score_n_equations!P5&gt;=3.5,"B",IF(score_n_equations!P5&gt;=2.5,"C",IF(score_n_equations!P5&gt;0,"D")))))</f>
        <v>C</v>
      </c>
      <c r="Q5" s="30" t="s">
        <v>47</v>
      </c>
      <c r="R5" s="30" t="s">
        <v>66</v>
      </c>
      <c r="S5" s="30" t="s">
        <v>46</v>
      </c>
      <c r="T5" s="36" t="str">
        <f>IF(score_n_equations!T5="NULL","NULL",IF(score_n_equations!T5&gt;=4.5,"A",IF(score_n_equations!T5&gt;=3.5,"B",IF(score_n_equations!T5&gt;=2.5,"C",IF(score_n_equations!T5&gt;0,"D")))))</f>
        <v>C</v>
      </c>
      <c r="U5" s="30" t="s">
        <v>47</v>
      </c>
      <c r="V5" s="30" t="s">
        <v>66</v>
      </c>
      <c r="W5" s="30" t="s">
        <v>48</v>
      </c>
      <c r="X5" s="36" t="str">
        <f>IF(score_n_equations!X5="NULL","NULL",IF(score_n_equations!X5&gt;=4.5,"A",IF(score_n_equations!X5&gt;=3.5,"B",IF(score_n_equations!X5&gt;=2.5,"C",IF(score_n_equations!X5&gt;0,"D")))))</f>
        <v>C</v>
      </c>
      <c r="Y5" s="30" t="s">
        <v>46</v>
      </c>
      <c r="Z5" s="30" t="s">
        <v>66</v>
      </c>
      <c r="AA5" s="36" t="str">
        <f>IF(score_n_equations!AA5="NULL","NULL",IF(score_n_equations!AA5&gt;=4.5,"A",IF(score_n_equations!AA5&gt;=3.5,"B",IF(score_n_equations!AA5&gt;=2.5,"C",IF(score_n_equations!AA5&gt;0,"D")))))</f>
        <v>D</v>
      </c>
      <c r="AB5" s="49" t="str">
        <f>IF(score_n_equations!AB5="NULL","NULL",IF(score_n_equations!AB5&gt;=4.5,"A",IF(score_n_equations!AB5&gt;=3.5,"B",IF(score_n_equations!AB5&gt;=2.5,"C",IF(score_n_equations!AB5&gt;0,"D")))))</f>
        <v>D</v>
      </c>
      <c r="AC5" s="49" t="str">
        <f>IF(score_n_equations!AC5="NULL","NULL",IF(score_n_equations!AC5&gt;=4.5,"A",IF(score_n_equations!AC5&gt;=3.5,"B",IF(score_n_equations!AC5&gt;=2.5,"C",IF(score_n_equations!AC5&gt;0,"D")))))</f>
        <v>C</v>
      </c>
      <c r="AD5" s="53" t="str">
        <f>IF(score_n_equations!AD5="NULL","NULL",IF(score_n_equations!AD5&gt;=4.5,"A",IF(score_n_equations!AD5&gt;=3.5,"B",IF(score_n_equations!AD5&gt;=2.5,"C",IF(score_n_equations!AD5&gt;0,"D")))))</f>
        <v>C</v>
      </c>
      <c r="AE5" s="53" t="str">
        <f>IF(score_n_equations!AE5="NULL","NULL",IF(score_n_equations!AE5&gt;=4.5,"A",IF(score_n_equations!AE5&gt;=3.5,"B",IF(score_n_equations!AE5&gt;=2.5,"C",IF(score_n_equations!AE5&gt;0,"D")))))</f>
        <v>D</v>
      </c>
    </row>
    <row r="6" spans="1:32" ht="14.25" customHeight="1" x14ac:dyDescent="0.25">
      <c r="A6" s="33">
        <v>674</v>
      </c>
      <c r="B6" s="30" t="s">
        <v>48</v>
      </c>
      <c r="C6" s="30" t="s">
        <v>48</v>
      </c>
      <c r="D6" s="36" t="str">
        <f>IF(score_n_equations!D6="NULL","NULL",IF(score_n_equations!D6&gt;=4.5,"A",IF(score_n_equations!D6&gt;=3.5,"B",IF(score_n_equations!D6&gt;=2.5,"C",IF(score_n_equations!D6&gt;0,"D")))))</f>
        <v>A</v>
      </c>
      <c r="E6" s="30" t="s">
        <v>48</v>
      </c>
      <c r="F6" s="30" t="s">
        <v>48</v>
      </c>
      <c r="G6" s="30" t="s">
        <v>47</v>
      </c>
      <c r="H6" s="30" t="s">
        <v>48</v>
      </c>
      <c r="I6" s="36" t="str">
        <f>IF(score_n_equations!I6="NULL","NULL",IF(score_n_equations!I6&gt;=4.5,"A",IF(score_n_equations!I6&gt;=3.5,"B",IF(score_n_equations!I6&gt;=2.5,"C",IF(score_n_equations!I6&gt;0,"D")))))</f>
        <v>A</v>
      </c>
      <c r="J6" s="30" t="s">
        <v>46</v>
      </c>
      <c r="K6" s="30" t="s">
        <v>47</v>
      </c>
      <c r="L6" s="30" t="s">
        <v>47</v>
      </c>
      <c r="M6" s="30" t="s">
        <v>48</v>
      </c>
      <c r="N6" s="30" t="s">
        <v>65</v>
      </c>
      <c r="O6" s="30" t="s">
        <v>65</v>
      </c>
      <c r="P6" s="36" t="str">
        <f>IF(score_n_equations!P6="NULL","NULL",IF(score_n_equations!P6&gt;=4.5,"A",IF(score_n_equations!P6&gt;=3.5,"B",IF(score_n_equations!P6&gt;=2.5,"C",IF(score_n_equations!P6&gt;0,"D")))))</f>
        <v>B</v>
      </c>
      <c r="Q6" s="30" t="s">
        <v>48</v>
      </c>
      <c r="R6" s="30" t="s">
        <v>48</v>
      </c>
      <c r="S6" s="30" t="s">
        <v>48</v>
      </c>
      <c r="T6" s="36" t="str">
        <f>IF(score_n_equations!T6="NULL","NULL",IF(score_n_equations!T6&gt;=4.5,"A",IF(score_n_equations!T6&gt;=3.5,"B",IF(score_n_equations!T6&gt;=2.5,"C",IF(score_n_equations!T6&gt;0,"D")))))</f>
        <v>A</v>
      </c>
      <c r="U6" s="30" t="s">
        <v>47</v>
      </c>
      <c r="V6" s="30" t="s">
        <v>48</v>
      </c>
      <c r="W6" s="30" t="s">
        <v>48</v>
      </c>
      <c r="X6" s="36" t="str">
        <f>IF(score_n_equations!X6="NULL","NULL",IF(score_n_equations!X6&gt;=4.5,"A",IF(score_n_equations!X6&gt;=3.5,"B",IF(score_n_equations!X6&gt;=2.5,"C",IF(score_n_equations!X6&gt;0,"D")))))</f>
        <v>A</v>
      </c>
      <c r="Y6" s="30" t="s">
        <v>47</v>
      </c>
      <c r="Z6" s="30" t="s">
        <v>48</v>
      </c>
      <c r="AA6" s="36" t="str">
        <f>IF(score_n_equations!AA6="NULL","NULL",IF(score_n_equations!AA6&gt;=4.5,"A",IF(score_n_equations!AA6&gt;=3.5,"B",IF(score_n_equations!AA6&gt;=2.5,"C",IF(score_n_equations!AA6&gt;0,"D")))))</f>
        <v>A</v>
      </c>
      <c r="AB6" s="49" t="str">
        <f>IF(score_n_equations!AB6="NULL","NULL",IF(score_n_equations!AB6&gt;=4.5,"A",IF(score_n_equations!AB6&gt;=3.5,"B",IF(score_n_equations!AB6&gt;=2.5,"C",IF(score_n_equations!AB6&gt;0,"D")))))</f>
        <v>A</v>
      </c>
      <c r="AC6" s="49" t="str">
        <f>IF(score_n_equations!AC6="NULL","NULL",IF(score_n_equations!AC6&gt;=4.5,"A",IF(score_n_equations!AC6&gt;=3.5,"B",IF(score_n_equations!AC6&gt;=2.5,"C",IF(score_n_equations!AC6&gt;0,"D")))))</f>
        <v>B</v>
      </c>
      <c r="AD6" s="53" t="str">
        <f>IF(score_n_equations!AD6="NULL","NULL",IF(score_n_equations!AD6&gt;=4.5,"A",IF(score_n_equations!AD6&gt;=3.5,"B",IF(score_n_equations!AD6&gt;=2.5,"C",IF(score_n_equations!AD6&gt;0,"D")))))</f>
        <v>A</v>
      </c>
      <c r="AE6" s="53" t="str">
        <f>IF(score_n_equations!AE6="NULL","NULL",IF(score_n_equations!AE6&gt;=4.5,"A",IF(score_n_equations!AE6&gt;=3.5,"B",IF(score_n_equations!AE6&gt;=2.5,"C",IF(score_n_equations!AE6&gt;0,"D")))))</f>
        <v>A</v>
      </c>
    </row>
    <row r="7" spans="1:32" x14ac:dyDescent="0.25">
      <c r="A7" s="33">
        <v>1102</v>
      </c>
      <c r="B7" s="30" t="s">
        <v>47</v>
      </c>
      <c r="C7" s="30" t="s">
        <v>48</v>
      </c>
      <c r="D7" s="36" t="str">
        <f>IF(score_n_equations!D7="NULL","NULL",IF(score_n_equations!D7&gt;=4.5,"A",IF(score_n_equations!D7&gt;=3.5,"B",IF(score_n_equations!D7&gt;=2.5,"C",IF(score_n_equations!D7&gt;0,"D")))))</f>
        <v>A</v>
      </c>
      <c r="E7" s="30" t="s">
        <v>47</v>
      </c>
      <c r="F7" s="30" t="s">
        <v>47</v>
      </c>
      <c r="G7" s="30" t="s">
        <v>48</v>
      </c>
      <c r="H7" s="30" t="s">
        <v>48</v>
      </c>
      <c r="I7" s="36" t="str">
        <f>IF(score_n_equations!I7="NULL","NULL",IF(score_n_equations!I7&gt;=4.5,"A",IF(score_n_equations!I7&gt;=3.5,"B",IF(score_n_equations!I7&gt;=2.5,"C",IF(score_n_equations!I7&gt;0,"D")))))</f>
        <v>B</v>
      </c>
      <c r="J7" s="30" t="s">
        <v>46</v>
      </c>
      <c r="K7" s="30" t="s">
        <v>48</v>
      </c>
      <c r="L7" s="30" t="s">
        <v>48</v>
      </c>
      <c r="M7" s="30" t="s">
        <v>48</v>
      </c>
      <c r="N7" s="30" t="s">
        <v>65</v>
      </c>
      <c r="O7" s="30" t="s">
        <v>65</v>
      </c>
      <c r="P7" s="36" t="str">
        <f>IF(score_n_equations!P7="NULL","NULL",IF(score_n_equations!P7&gt;=4.5,"A",IF(score_n_equations!P7&gt;=3.5,"B",IF(score_n_equations!P7&gt;=2.5,"C",IF(score_n_equations!P7&gt;0,"D")))))</f>
        <v>A</v>
      </c>
      <c r="Q7" s="30" t="s">
        <v>48</v>
      </c>
      <c r="R7" s="30" t="s">
        <v>48</v>
      </c>
      <c r="S7" s="30" t="s">
        <v>48</v>
      </c>
      <c r="T7" s="36" t="str">
        <f>IF(score_n_equations!T7="NULL","NULL",IF(score_n_equations!T7&gt;=4.5,"A",IF(score_n_equations!T7&gt;=3.5,"B",IF(score_n_equations!T7&gt;=2.5,"C",IF(score_n_equations!T7&gt;0,"D")))))</f>
        <v>A</v>
      </c>
      <c r="U7" s="30" t="s">
        <v>48</v>
      </c>
      <c r="V7" s="30" t="s">
        <v>48</v>
      </c>
      <c r="W7" s="30" t="s">
        <v>48</v>
      </c>
      <c r="X7" s="36" t="str">
        <f>IF(score_n_equations!X7="NULL","NULL",IF(score_n_equations!X7&gt;=4.5,"A",IF(score_n_equations!X7&gt;=3.5,"B",IF(score_n_equations!X7&gt;=2.5,"C",IF(score_n_equations!X7&gt;0,"D")))))</f>
        <v>A</v>
      </c>
      <c r="Y7" s="30" t="s">
        <v>48</v>
      </c>
      <c r="Z7" s="30" t="s">
        <v>46</v>
      </c>
      <c r="AA7" s="36" t="str">
        <f>IF(score_n_equations!AA7="NULL","NULL",IF(score_n_equations!AA7&gt;=4.5,"A",IF(score_n_equations!AA7&gt;=3.5,"B",IF(score_n_equations!AA7&gt;=2.5,"C",IF(score_n_equations!AA7&gt;0,"D")))))</f>
        <v>B</v>
      </c>
      <c r="AB7" s="49" t="str">
        <f>IF(score_n_equations!AB7="NULL","NULL",IF(score_n_equations!AB7&gt;=4.5,"A",IF(score_n_equations!AB7&gt;=3.5,"B",IF(score_n_equations!AB7&gt;=2.5,"C",IF(score_n_equations!AB7&gt;0,"D")))))</f>
        <v>B</v>
      </c>
      <c r="AC7" s="49" t="str">
        <f>IF(score_n_equations!AC7="NULL","NULL",IF(score_n_equations!AC7&gt;=4.5,"A",IF(score_n_equations!AC7&gt;=3.5,"B",IF(score_n_equations!AC7&gt;=2.5,"C",IF(score_n_equations!AC7&gt;0,"D")))))</f>
        <v>A</v>
      </c>
      <c r="AD7" s="53" t="str">
        <f>IF(score_n_equations!AD7="NULL","NULL",IF(score_n_equations!AD7&gt;=4.5,"A",IF(score_n_equations!AD7&gt;=3.5,"B",IF(score_n_equations!AD7&gt;=2.5,"C",IF(score_n_equations!AD7&gt;0,"D")))))</f>
        <v>A</v>
      </c>
      <c r="AE7" s="53" t="str">
        <f>IF(score_n_equations!AE7="NULL","NULL",IF(score_n_equations!AE7&gt;=4.5,"A",IF(score_n_equations!AE7&gt;=3.5,"B",IF(score_n_equations!AE7&gt;=2.5,"C",IF(score_n_equations!AE7&gt;0,"D")))))</f>
        <v>A</v>
      </c>
    </row>
    <row r="8" spans="1:32" x14ac:dyDescent="0.25">
      <c r="A8" s="33">
        <v>1251</v>
      </c>
      <c r="B8" s="30" t="s">
        <v>48</v>
      </c>
      <c r="C8" s="30" t="s">
        <v>48</v>
      </c>
      <c r="D8" s="36" t="str">
        <f>IF(score_n_equations!D8="NULL","NULL",IF(score_n_equations!D8&gt;=4.5,"A",IF(score_n_equations!D8&gt;=3.5,"B",IF(score_n_equations!D8&gt;=2.5,"C",IF(score_n_equations!D8&gt;0,"D")))))</f>
        <v>A</v>
      </c>
      <c r="E8" s="30" t="s">
        <v>48</v>
      </c>
      <c r="F8" s="30" t="s">
        <v>48</v>
      </c>
      <c r="G8" s="30" t="s">
        <v>48</v>
      </c>
      <c r="H8" s="30" t="s">
        <v>48</v>
      </c>
      <c r="I8" s="36" t="str">
        <f>IF(score_n_equations!I8="NULL","NULL",IF(score_n_equations!I8&gt;=4.5,"A",IF(score_n_equations!I8&gt;=3.5,"B",IF(score_n_equations!I8&gt;=2.5,"C",IF(score_n_equations!I8&gt;0,"D")))))</f>
        <v>A</v>
      </c>
      <c r="J8" s="30" t="s">
        <v>46</v>
      </c>
      <c r="K8" s="30" t="s">
        <v>46</v>
      </c>
      <c r="L8" s="30" t="s">
        <v>46</v>
      </c>
      <c r="M8" s="30" t="s">
        <v>46</v>
      </c>
      <c r="N8" s="30" t="s">
        <v>65</v>
      </c>
      <c r="O8" s="30" t="s">
        <v>65</v>
      </c>
      <c r="P8" s="36" t="str">
        <f>IF(score_n_equations!P8="NULL","NULL",IF(score_n_equations!P8&gt;=4.5,"A",IF(score_n_equations!P8&gt;=3.5,"B",IF(score_n_equations!P8&gt;=2.5,"C",IF(score_n_equations!P8&gt;0,"D")))))</f>
        <v>C</v>
      </c>
      <c r="Q8" s="30" t="s">
        <v>48</v>
      </c>
      <c r="R8" s="30" t="s">
        <v>48</v>
      </c>
      <c r="S8" s="30" t="s">
        <v>47</v>
      </c>
      <c r="T8" s="36" t="str">
        <f>IF(score_n_equations!T8="NULL","NULL",IF(score_n_equations!T8&gt;=4.5,"A",IF(score_n_equations!T8&gt;=3.5,"B",IF(score_n_equations!T8&gt;=2.5,"C",IF(score_n_equations!T8&gt;0,"D")))))</f>
        <v>A</v>
      </c>
      <c r="U8" s="30" t="s">
        <v>46</v>
      </c>
      <c r="V8" s="30" t="s">
        <v>48</v>
      </c>
      <c r="W8" s="30" t="s">
        <v>46</v>
      </c>
      <c r="X8" s="36" t="str">
        <f>IF(score_n_equations!X8="NULL","NULL",IF(score_n_equations!X8&gt;=4.5,"A",IF(score_n_equations!X8&gt;=3.5,"B",IF(score_n_equations!X8&gt;=2.5,"C",IF(score_n_equations!X8&gt;0,"D")))))</f>
        <v>B</v>
      </c>
      <c r="Y8" s="30" t="s">
        <v>47</v>
      </c>
      <c r="Z8" s="30" t="s">
        <v>48</v>
      </c>
      <c r="AA8" s="36" t="str">
        <f>IF(score_n_equations!AA8="NULL","NULL",IF(score_n_equations!AA8&gt;=4.5,"A",IF(score_n_equations!AA8&gt;=3.5,"B",IF(score_n_equations!AA8&gt;=2.5,"C",IF(score_n_equations!AA8&gt;0,"D")))))</f>
        <v>A</v>
      </c>
      <c r="AB8" s="49" t="str">
        <f>IF(score_n_equations!AB8="NULL","NULL",IF(score_n_equations!AB8&gt;=4.5,"A",IF(score_n_equations!AB8&gt;=3.5,"B",IF(score_n_equations!AB8&gt;=2.5,"C",IF(score_n_equations!AB8&gt;0,"D")))))</f>
        <v>A</v>
      </c>
      <c r="AC8" s="49" t="str">
        <f>IF(score_n_equations!AC8="NULL","NULL",IF(score_n_equations!AC8&gt;=4.5,"A",IF(score_n_equations!AC8&gt;=3.5,"B",IF(score_n_equations!AC8&gt;=2.5,"C",IF(score_n_equations!AC8&gt;0,"D")))))</f>
        <v>B</v>
      </c>
      <c r="AD8" s="53" t="str">
        <f>IF(score_n_equations!AD8="NULL","NULL",IF(score_n_equations!AD8&gt;=4.5,"A",IF(score_n_equations!AD8&gt;=3.5,"B",IF(score_n_equations!AD8&gt;=2.5,"C",IF(score_n_equations!AD8&gt;0,"D")))))</f>
        <v>B</v>
      </c>
      <c r="AE8" s="53" t="str">
        <f>IF(score_n_equations!AE8="NULL","NULL",IF(score_n_equations!AE8&gt;=4.5,"A",IF(score_n_equations!AE8&gt;=3.5,"B",IF(score_n_equations!AE8&gt;=2.5,"C",IF(score_n_equations!AE8&gt;0,"D")))))</f>
        <v>A</v>
      </c>
    </row>
    <row r="9" spans="1:32" x14ac:dyDescent="0.25">
      <c r="A9" s="33">
        <v>1270</v>
      </c>
      <c r="B9" s="30" t="s">
        <v>47</v>
      </c>
      <c r="C9" s="30" t="s">
        <v>48</v>
      </c>
      <c r="D9" s="36" t="str">
        <f>IF(score_n_equations!D9="NULL","NULL",IF(score_n_equations!D9&gt;=4.5,"A",IF(score_n_equations!D9&gt;=3.5,"B",IF(score_n_equations!D9&gt;=2.5,"C",IF(score_n_equations!D9&gt;0,"D")))))</f>
        <v>A</v>
      </c>
      <c r="E9" s="30" t="s">
        <v>48</v>
      </c>
      <c r="F9" s="30" t="s">
        <v>48</v>
      </c>
      <c r="G9" s="30" t="s">
        <v>46</v>
      </c>
      <c r="H9" s="30" t="s">
        <v>47</v>
      </c>
      <c r="I9" s="36" t="str">
        <f>IF(score_n_equations!I9="NULL","NULL",IF(score_n_equations!I9&gt;=4.5,"A",IF(score_n_equations!I9&gt;=3.5,"B",IF(score_n_equations!I9&gt;=2.5,"C",IF(score_n_equations!I9&gt;0,"D")))))</f>
        <v>B</v>
      </c>
      <c r="J9" s="30" t="s">
        <v>49</v>
      </c>
      <c r="K9" s="30" t="s">
        <v>47</v>
      </c>
      <c r="L9" s="30" t="s">
        <v>46</v>
      </c>
      <c r="M9" s="59" t="s">
        <v>46</v>
      </c>
      <c r="N9" s="30" t="s">
        <v>65</v>
      </c>
      <c r="O9" s="30" t="s">
        <v>65</v>
      </c>
      <c r="P9" s="36" t="str">
        <f>IF(score_n_equations!P9="NULL","NULL",IF(score_n_equations!P9&gt;=4.5,"A",IF(score_n_equations!P9&gt;=3.5,"B",IF(score_n_equations!P9&gt;=2.5,"C",IF(score_n_equations!P9&gt;0,"D")))))</f>
        <v>C</v>
      </c>
      <c r="Q9" s="30" t="s">
        <v>48</v>
      </c>
      <c r="R9" s="30" t="s">
        <v>48</v>
      </c>
      <c r="S9" s="30" t="s">
        <v>48</v>
      </c>
      <c r="T9" s="36" t="str">
        <f>IF(score_n_equations!T9="NULL","NULL",IF(score_n_equations!T9&gt;=4.5,"A",IF(score_n_equations!T9&gt;=3.5,"B",IF(score_n_equations!T9&gt;=2.5,"C",IF(score_n_equations!T9&gt;0,"D")))))</f>
        <v>A</v>
      </c>
      <c r="U9" s="30" t="s">
        <v>48</v>
      </c>
      <c r="V9" s="30" t="s">
        <v>48</v>
      </c>
      <c r="W9" s="30" t="s">
        <v>46</v>
      </c>
      <c r="X9" s="36" t="str">
        <f>IF(score_n_equations!X9="NULL","NULL",IF(score_n_equations!X9&gt;=4.5,"A",IF(score_n_equations!X9&gt;=3.5,"B",IF(score_n_equations!X9&gt;=2.5,"C",IF(score_n_equations!X9&gt;0,"D")))))</f>
        <v>B</v>
      </c>
      <c r="Y9" s="30" t="s">
        <v>48</v>
      </c>
      <c r="Z9" s="30" t="s">
        <v>48</v>
      </c>
      <c r="AA9" s="36" t="str">
        <f>IF(score_n_equations!AA9="NULL","NULL",IF(score_n_equations!AA9&gt;=4.5,"A",IF(score_n_equations!AA9&gt;=3.5,"B",IF(score_n_equations!AA9&gt;=2.5,"C",IF(score_n_equations!AA9&gt;0,"D")))))</f>
        <v>A</v>
      </c>
      <c r="AB9" s="49" t="str">
        <f>IF(score_n_equations!AB9="NULL","NULL",IF(score_n_equations!AB9&gt;=4.5,"A",IF(score_n_equations!AB9&gt;=3.5,"B",IF(score_n_equations!AB9&gt;=2.5,"C",IF(score_n_equations!AB9&gt;0,"D")))))</f>
        <v>B</v>
      </c>
      <c r="AC9" s="49" t="str">
        <f>IF(score_n_equations!AC9="NULL","NULL",IF(score_n_equations!AC9&gt;=4.5,"A",IF(score_n_equations!AC9&gt;=3.5,"B",IF(score_n_equations!AC9&gt;=2.5,"C",IF(score_n_equations!AC9&gt;0,"D")))))</f>
        <v>B</v>
      </c>
      <c r="AD9" s="53" t="str">
        <f>IF(score_n_equations!AD9="NULL","NULL",IF(score_n_equations!AD9&gt;=4.5,"A",IF(score_n_equations!AD9&gt;=3.5,"B",IF(score_n_equations!AD9&gt;=2.5,"C",IF(score_n_equations!AD9&gt;0,"D")))))</f>
        <v>B</v>
      </c>
      <c r="AE9" s="53" t="str">
        <f>IF(score_n_equations!AE9="NULL","NULL",IF(score_n_equations!AE9&gt;=4.5,"A",IF(score_n_equations!AE9&gt;=3.5,"B",IF(score_n_equations!AE9&gt;=2.5,"C",IF(score_n_equations!AE9&gt;0,"D")))))</f>
        <v>B</v>
      </c>
    </row>
    <row r="10" spans="1:32" x14ac:dyDescent="0.25">
      <c r="A10" s="33">
        <v>1368</v>
      </c>
      <c r="B10" s="30" t="s">
        <v>48</v>
      </c>
      <c r="C10" s="30" t="s">
        <v>48</v>
      </c>
      <c r="D10" s="36" t="str">
        <f>IF(score_n_equations!D10="NULL","NULL",IF(score_n_equations!D10&gt;=4.5,"A",IF(score_n_equations!D10&gt;=3.5,"B",IF(score_n_equations!D10&gt;=2.5,"C",IF(score_n_equations!D10&gt;0,"D")))))</f>
        <v>A</v>
      </c>
      <c r="E10" s="30" t="s">
        <v>48</v>
      </c>
      <c r="F10" s="30" t="s">
        <v>48</v>
      </c>
      <c r="G10" s="30" t="s">
        <v>47</v>
      </c>
      <c r="H10" s="30" t="s">
        <v>47</v>
      </c>
      <c r="I10" s="36" t="str">
        <f>IF(score_n_equations!I10="NULL","NULL",IF(score_n_equations!I10&gt;=4.5,"A",IF(score_n_equations!I10&gt;=3.5,"B",IF(score_n_equations!I10&gt;=2.5,"C",IF(score_n_equations!I10&gt;0,"D")))))</f>
        <v>B</v>
      </c>
      <c r="J10" s="30" t="s">
        <v>47</v>
      </c>
      <c r="K10" s="30" t="s">
        <v>47</v>
      </c>
      <c r="L10" s="30" t="s">
        <v>48</v>
      </c>
      <c r="M10" s="30" t="s">
        <v>48</v>
      </c>
      <c r="N10" s="30" t="s">
        <v>65</v>
      </c>
      <c r="O10" s="30" t="s">
        <v>65</v>
      </c>
      <c r="P10" s="36" t="str">
        <f>IF(score_n_equations!P10="NULL","NULL",IF(score_n_equations!P10&gt;=4.5,"A",IF(score_n_equations!P10&gt;=3.5,"B",IF(score_n_equations!P10&gt;=2.5,"C",IF(score_n_equations!P10&gt;0,"D")))))</f>
        <v>A</v>
      </c>
      <c r="Q10" s="30" t="s">
        <v>48</v>
      </c>
      <c r="R10" s="30" t="s">
        <v>47</v>
      </c>
      <c r="S10" s="30" t="s">
        <v>47</v>
      </c>
      <c r="T10" s="36" t="str">
        <f>IF(score_n_equations!T10="NULL","NULL",IF(score_n_equations!T10&gt;=4.5,"A",IF(score_n_equations!T10&gt;=3.5,"B",IF(score_n_equations!T10&gt;=2.5,"C",IF(score_n_equations!T10&gt;0,"D")))))</f>
        <v>B</v>
      </c>
      <c r="U10" s="30" t="s">
        <v>46</v>
      </c>
      <c r="V10" s="30" t="s">
        <v>48</v>
      </c>
      <c r="W10" s="30" t="s">
        <v>48</v>
      </c>
      <c r="X10" s="36" t="str">
        <f>IF(score_n_equations!X10="NULL","NULL",IF(score_n_equations!X10&gt;=4.5,"A",IF(score_n_equations!X10&gt;=3.5,"B",IF(score_n_equations!X10&gt;=2.5,"C",IF(score_n_equations!X10&gt;0,"D")))))</f>
        <v>B</v>
      </c>
      <c r="Y10" s="30" t="s">
        <v>48</v>
      </c>
      <c r="Z10" s="30" t="s">
        <v>48</v>
      </c>
      <c r="AA10" s="36" t="str">
        <f>IF(score_n_equations!AA10="NULL","NULL",IF(score_n_equations!AA10&gt;=4.5,"A",IF(score_n_equations!AA10&gt;=3.5,"B",IF(score_n_equations!AA10&gt;=2.5,"C",IF(score_n_equations!AA10&gt;0,"D")))))</f>
        <v>A</v>
      </c>
      <c r="AB10" s="49" t="str">
        <f>IF(score_n_equations!AB10="NULL","NULL",IF(score_n_equations!AB10&gt;=4.5,"A",IF(score_n_equations!AB10&gt;=3.5,"B",IF(score_n_equations!AB10&gt;=2.5,"C",IF(score_n_equations!AB10&gt;0,"D")))))</f>
        <v>A</v>
      </c>
      <c r="AC10" s="49" t="str">
        <f>IF(score_n_equations!AC10="NULL","NULL",IF(score_n_equations!AC10&gt;=4.5,"A",IF(score_n_equations!AC10&gt;=3.5,"B",IF(score_n_equations!AC10&gt;=2.5,"C",IF(score_n_equations!AC10&gt;0,"D")))))</f>
        <v>B</v>
      </c>
      <c r="AD10" s="53" t="str">
        <f>IF(score_n_equations!AD10="NULL","NULL",IF(score_n_equations!AD10&gt;=4.5,"A",IF(score_n_equations!AD10&gt;=3.5,"B",IF(score_n_equations!AD10&gt;=2.5,"C",IF(score_n_equations!AD10&gt;0,"D")))))</f>
        <v>B</v>
      </c>
      <c r="AE10" s="53" t="str">
        <f>IF(score_n_equations!AE10="NULL","NULL",IF(score_n_equations!AE10&gt;=4.5,"A",IF(score_n_equations!AE10&gt;=3.5,"B",IF(score_n_equations!AE10&gt;=2.5,"C",IF(score_n_equations!AE10&gt;0,"D")))))</f>
        <v>A</v>
      </c>
    </row>
    <row r="11" spans="1:32" x14ac:dyDescent="0.25">
      <c r="A11" s="33">
        <v>1610</v>
      </c>
      <c r="B11" s="30" t="s">
        <v>46</v>
      </c>
      <c r="C11" s="30" t="s">
        <v>47</v>
      </c>
      <c r="D11" s="36" t="str">
        <f>IF(score_n_equations!D11="NULL","NULL",IF(score_n_equations!D11&gt;=4.5,"A",IF(score_n_equations!D11&gt;=3.5,"B",IF(score_n_equations!D11&gt;=2.5,"C",IF(score_n_equations!D11&gt;0,"D")))))</f>
        <v>B</v>
      </c>
      <c r="E11" s="30" t="s">
        <v>47</v>
      </c>
      <c r="F11" s="30" t="s">
        <v>47</v>
      </c>
      <c r="G11" s="30" t="s">
        <v>47</v>
      </c>
      <c r="H11" s="30" t="s">
        <v>46</v>
      </c>
      <c r="I11" s="36" t="str">
        <f>IF(score_n_equations!I11="NULL","NULL",IF(score_n_equations!I11&gt;=4.5,"A",IF(score_n_equations!I11&gt;=3.5,"B",IF(score_n_equations!I11&gt;=2.5,"C",IF(score_n_equations!I11&gt;0,"D")))))</f>
        <v>B</v>
      </c>
      <c r="J11" s="30" t="s">
        <v>47</v>
      </c>
      <c r="K11" s="30" t="s">
        <v>47</v>
      </c>
      <c r="L11" s="30" t="s">
        <v>48</v>
      </c>
      <c r="M11" s="30" t="s">
        <v>48</v>
      </c>
      <c r="N11" s="30" t="s">
        <v>65</v>
      </c>
      <c r="O11" s="30" t="s">
        <v>65</v>
      </c>
      <c r="P11" s="36" t="str">
        <f>IF(score_n_equations!P11="NULL","NULL",IF(score_n_equations!P11&gt;=4.5,"A",IF(score_n_equations!P11&gt;=3.5,"B",IF(score_n_equations!P11&gt;=2.5,"C",IF(score_n_equations!P11&gt;0,"D")))))</f>
        <v>A</v>
      </c>
      <c r="Q11" s="30" t="s">
        <v>48</v>
      </c>
      <c r="R11" s="30" t="s">
        <v>48</v>
      </c>
      <c r="S11" s="60" t="s">
        <v>47</v>
      </c>
      <c r="T11" s="36" t="str">
        <f>IF(score_n_equations!T11="NULL","NULL",IF(score_n_equations!T11&gt;=4.5,"A",IF(score_n_equations!T11&gt;=3.5,"B",IF(score_n_equations!T11&gt;=2.5,"C",IF(score_n_equations!T11&gt;0,"D")))))</f>
        <v>A</v>
      </c>
      <c r="U11" s="30" t="s">
        <v>46</v>
      </c>
      <c r="V11" s="30" t="s">
        <v>48</v>
      </c>
      <c r="W11" s="30" t="s">
        <v>47</v>
      </c>
      <c r="X11" s="36" t="str">
        <f>IF(score_n_equations!X11="NULL","NULL",IF(score_n_equations!X11&gt;=4.5,"A",IF(score_n_equations!X11&gt;=3.5,"B",IF(score_n_equations!X11&gt;=2.5,"C",IF(score_n_equations!X11&gt;0,"D")))))</f>
        <v>B</v>
      </c>
      <c r="Y11" s="30" t="s">
        <v>48</v>
      </c>
      <c r="Z11" s="30" t="s">
        <v>48</v>
      </c>
      <c r="AA11" s="36" t="str">
        <f>IF(score_n_equations!AA11="NULL","NULL",IF(score_n_equations!AA11&gt;=4.5,"A",IF(score_n_equations!AA11&gt;=3.5,"B",IF(score_n_equations!AA11&gt;=2.5,"C",IF(score_n_equations!AA11&gt;0,"D")))))</f>
        <v>A</v>
      </c>
      <c r="AB11" s="49" t="str">
        <f>IF(score_n_equations!AB11="NULL","NULL",IF(score_n_equations!AB11&gt;=4.5,"A",IF(score_n_equations!AB11&gt;=3.5,"B",IF(score_n_equations!AB11&gt;=2.5,"C",IF(score_n_equations!AB11&gt;0,"D")))))</f>
        <v>B</v>
      </c>
      <c r="AC11" s="49" t="str">
        <f>IF(score_n_equations!AC11="NULL","NULL",IF(score_n_equations!AC11&gt;=4.5,"A",IF(score_n_equations!AC11&gt;=3.5,"B",IF(score_n_equations!AC11&gt;=2.5,"C",IF(score_n_equations!AC11&gt;0,"D")))))</f>
        <v>A</v>
      </c>
      <c r="AD11" s="53" t="str">
        <f>IF(score_n_equations!AD11="NULL","NULL",IF(score_n_equations!AD11&gt;=4.5,"A",IF(score_n_equations!AD11&gt;=3.5,"B",IF(score_n_equations!AD11&gt;=2.5,"C",IF(score_n_equations!AD11&gt;0,"D")))))</f>
        <v>B</v>
      </c>
      <c r="AE11" s="53" t="str">
        <f>IF(score_n_equations!AE11="NULL","NULL",IF(score_n_equations!AE11&gt;=4.5,"A",IF(score_n_equations!AE11&gt;=3.5,"B",IF(score_n_equations!AE11&gt;=2.5,"C",IF(score_n_equations!AE11&gt;0,"D")))))</f>
        <v>A</v>
      </c>
    </row>
    <row r="12" spans="1:32" x14ac:dyDescent="0.25">
      <c r="A12" s="33">
        <v>1611</v>
      </c>
      <c r="B12" s="30" t="s">
        <v>46</v>
      </c>
      <c r="C12" s="30" t="s">
        <v>46</v>
      </c>
      <c r="D12" s="36" t="str">
        <f>IF(score_n_equations!D12="NULL","NULL",IF(score_n_equations!D12&gt;=4.5,"A",IF(score_n_equations!D12&gt;=3.5,"B",IF(score_n_equations!D12&gt;=2.5,"C",IF(score_n_equations!D12&gt;0,"D")))))</f>
        <v>C</v>
      </c>
      <c r="E12" s="30" t="s">
        <v>48</v>
      </c>
      <c r="F12" s="30" t="s">
        <v>47</v>
      </c>
      <c r="G12" s="30" t="s">
        <v>66</v>
      </c>
      <c r="H12" s="59" t="s">
        <v>48</v>
      </c>
      <c r="I12" s="36" t="str">
        <f>IF(score_n_equations!I12="NULL","NULL",IF(score_n_equations!I12&gt;=4.5,"A",IF(score_n_equations!I12&gt;=3.5,"B",IF(score_n_equations!I12&gt;=2.5,"C",IF(score_n_equations!I12&gt;0,"D")))))</f>
        <v>B</v>
      </c>
      <c r="J12" s="30" t="s">
        <v>49</v>
      </c>
      <c r="K12" s="30" t="s">
        <v>49</v>
      </c>
      <c r="L12" s="59" t="s">
        <v>47</v>
      </c>
      <c r="M12" s="59" t="s">
        <v>48</v>
      </c>
      <c r="N12" s="30" t="s">
        <v>65</v>
      </c>
      <c r="O12" s="30" t="s">
        <v>65</v>
      </c>
      <c r="P12" s="36" t="str">
        <f>IF(score_n_equations!P12="NULL","NULL",IF(score_n_equations!P12&gt;=4.5,"A",IF(score_n_equations!P12&gt;=3.5,"B",IF(score_n_equations!P12&gt;=2.5,"C",IF(score_n_equations!P12&gt;0,"D")))))</f>
        <v>C</v>
      </c>
      <c r="Q12" s="30" t="s">
        <v>47</v>
      </c>
      <c r="R12" s="30" t="s">
        <v>48</v>
      </c>
      <c r="S12" s="30" t="s">
        <v>48</v>
      </c>
      <c r="T12" s="36" t="str">
        <f>IF(score_n_equations!T12="NULL","NULL",IF(score_n_equations!T12&gt;=4.5,"A",IF(score_n_equations!T12&gt;=3.5,"B",IF(score_n_equations!T12&gt;=2.5,"C",IF(score_n_equations!T12&gt;0,"D")))))</f>
        <v>A</v>
      </c>
      <c r="U12" s="59" t="s">
        <v>47</v>
      </c>
      <c r="V12" s="30" t="s">
        <v>65</v>
      </c>
      <c r="W12" s="30" t="s">
        <v>65</v>
      </c>
      <c r="X12" s="36" t="str">
        <f>IF(score_n_equations!X12="NULL","NULL",IF(score_n_equations!X12&gt;=4.5,"A",IF(score_n_equations!X12&gt;=3.5,"B",IF(score_n_equations!X12&gt;=2.5,"C",IF(score_n_equations!X12&gt;0,"D")))))</f>
        <v>B</v>
      </c>
      <c r="Y12" s="30" t="s">
        <v>47</v>
      </c>
      <c r="Z12" s="30" t="s">
        <v>48</v>
      </c>
      <c r="AA12" s="36" t="str">
        <f>IF(score_n_equations!AA12="NULL","NULL",IF(score_n_equations!AA12&gt;=4.5,"A",IF(score_n_equations!AA12&gt;=3.5,"B",IF(score_n_equations!AA12&gt;=2.5,"C",IF(score_n_equations!AA12&gt;0,"D")))))</f>
        <v>A</v>
      </c>
      <c r="AB12" s="49" t="str">
        <f>IF(score_n_equations!AB12="NULL","NULL",IF(score_n_equations!AB12&gt;=4.5,"A",IF(score_n_equations!AB12&gt;=3.5,"B",IF(score_n_equations!AB12&gt;=2.5,"C",IF(score_n_equations!AB12&gt;0,"D")))))</f>
        <v>C</v>
      </c>
      <c r="AC12" s="49" t="str">
        <f>IF(score_n_equations!AC12="NULL","NULL",IF(score_n_equations!AC12&gt;=4.5,"A",IF(score_n_equations!AC12&gt;=3.5,"B",IF(score_n_equations!AC12&gt;=2.5,"C",IF(score_n_equations!AC12&gt;0,"D")))))</f>
        <v>B</v>
      </c>
      <c r="AD12" s="53" t="str">
        <f>IF(score_n_equations!AD12="NULL","NULL",IF(score_n_equations!AD12&gt;=4.5,"A",IF(score_n_equations!AD12&gt;=3.5,"B",IF(score_n_equations!AD12&gt;=2.5,"C",IF(score_n_equations!AD12&gt;0,"D")))))</f>
        <v>B</v>
      </c>
      <c r="AE12" s="53" t="str">
        <f>IF(score_n_equations!AE12="NULL","NULL",IF(score_n_equations!AE12&gt;=4.5,"A",IF(score_n_equations!AE12&gt;=3.5,"B",IF(score_n_equations!AE12&gt;=2.5,"C",IF(score_n_equations!AE12&gt;0,"D")))))</f>
        <v>B</v>
      </c>
    </row>
    <row r="13" spans="1:32" x14ac:dyDescent="0.25">
      <c r="A13" s="33">
        <v>1617</v>
      </c>
      <c r="B13" s="30" t="s">
        <v>46</v>
      </c>
      <c r="C13" s="30" t="s">
        <v>46</v>
      </c>
      <c r="D13" s="36" t="str">
        <f>IF(score_n_equations!D13="NULL","NULL",IF(score_n_equations!D13&gt;=4.5,"A",IF(score_n_equations!D13&gt;=3.5,"B",IF(score_n_equations!D13&gt;=2.5,"C",IF(score_n_equations!D13&gt;0,"D")))))</f>
        <v>C</v>
      </c>
      <c r="E13" s="30" t="s">
        <v>48</v>
      </c>
      <c r="F13" s="30" t="s">
        <v>47</v>
      </c>
      <c r="G13" s="30" t="s">
        <v>66</v>
      </c>
      <c r="H13" s="30" t="s">
        <v>48</v>
      </c>
      <c r="I13" s="36" t="str">
        <f>IF(score_n_equations!I13="NULL","NULL",IF(score_n_equations!I13&gt;=4.5,"A",IF(score_n_equations!I13&gt;=3.5,"B",IF(score_n_equations!I13&gt;=2.5,"C",IF(score_n_equations!I13&gt;0,"D")))))</f>
        <v>B</v>
      </c>
      <c r="J13" s="30" t="s">
        <v>66</v>
      </c>
      <c r="K13" s="30" t="s">
        <v>49</v>
      </c>
      <c r="L13" s="30" t="s">
        <v>66</v>
      </c>
      <c r="M13" s="30" t="s">
        <v>46</v>
      </c>
      <c r="N13" s="30" t="s">
        <v>46</v>
      </c>
      <c r="O13" s="30" t="s">
        <v>46</v>
      </c>
      <c r="P13" s="36" t="str">
        <f>IF(score_n_equations!P13="NULL","NULL",IF(score_n_equations!P13&gt;=4.5,"A",IF(score_n_equations!P13&gt;=3.5,"B",IF(score_n_equations!P13&gt;=2.5,"C",IF(score_n_equations!P13&gt;0,"D")))))</f>
        <v>D</v>
      </c>
      <c r="Q13" s="30" t="s">
        <v>66</v>
      </c>
      <c r="R13" s="30" t="s">
        <v>47</v>
      </c>
      <c r="S13" s="30" t="s">
        <v>66</v>
      </c>
      <c r="T13" s="36" t="str">
        <f>IF(score_n_equations!T13="NULL","NULL",IF(score_n_equations!T13&gt;=4.5,"A",IF(score_n_equations!T13&gt;=3.5,"B",IF(score_n_equations!T13&gt;=2.5,"C",IF(score_n_equations!T13&gt;0,"D")))))</f>
        <v>D</v>
      </c>
      <c r="U13" s="30" t="s">
        <v>47</v>
      </c>
      <c r="V13" s="30" t="s">
        <v>48</v>
      </c>
      <c r="W13" s="30" t="s">
        <v>47</v>
      </c>
      <c r="X13" s="36" t="str">
        <f>IF(score_n_equations!X13="NULL","NULL",IF(score_n_equations!X13&gt;=4.5,"A",IF(score_n_equations!X13&gt;=3.5,"B",IF(score_n_equations!X13&gt;=2.5,"C",IF(score_n_equations!X13&gt;0,"D")))))</f>
        <v>B</v>
      </c>
      <c r="Y13" s="30" t="s">
        <v>66</v>
      </c>
      <c r="Z13" s="30" t="s">
        <v>47</v>
      </c>
      <c r="AA13" s="36" t="str">
        <f>IF(score_n_equations!AA13="NULL","NULL",IF(score_n_equations!AA13&gt;=4.5,"A",IF(score_n_equations!AA13&gt;=3.5,"B",IF(score_n_equations!AA13&gt;=2.5,"C",IF(score_n_equations!AA13&gt;0,"D")))))</f>
        <v>C</v>
      </c>
      <c r="AB13" s="49" t="str">
        <f>IF(score_n_equations!AB13="NULL","NULL",IF(score_n_equations!AB13&gt;=4.5,"A",IF(score_n_equations!AB13&gt;=3.5,"B",IF(score_n_equations!AB13&gt;=2.5,"C",IF(score_n_equations!AB13&gt;0,"D")))))</f>
        <v>C</v>
      </c>
      <c r="AC13" s="49" t="str">
        <f>IF(score_n_equations!AC13="NULL","NULL",IF(score_n_equations!AC13&gt;=4.5,"A",IF(score_n_equations!AC13&gt;=3.5,"B",IF(score_n_equations!AC13&gt;=2.5,"C",IF(score_n_equations!AC13&gt;0,"D")))))</f>
        <v>D</v>
      </c>
      <c r="AD13" s="53" t="str">
        <f>IF(score_n_equations!AD13="NULL","NULL",IF(score_n_equations!AD13&gt;=4.5,"A",IF(score_n_equations!AD13&gt;=3.5,"B",IF(score_n_equations!AD13&gt;=2.5,"C",IF(score_n_equations!AD13&gt;0,"D")))))</f>
        <v>C</v>
      </c>
      <c r="AE13" s="53" t="str">
        <f>IF(score_n_equations!AE13="NULL","NULL",IF(score_n_equations!AE13&gt;=4.5,"A",IF(score_n_equations!AE13&gt;=3.5,"B",IF(score_n_equations!AE13&gt;=2.5,"C",IF(score_n_equations!AE13&gt;0,"D")))))</f>
        <v>C</v>
      </c>
    </row>
    <row r="14" spans="1:32" x14ac:dyDescent="0.25">
      <c r="A14" s="33">
        <v>1682</v>
      </c>
      <c r="B14" s="30" t="s">
        <v>46</v>
      </c>
      <c r="C14" s="30" t="s">
        <v>47</v>
      </c>
      <c r="D14" s="36" t="str">
        <f>IF(score_n_equations!D14="NULL","NULL",IF(score_n_equations!D14&gt;=4.5,"A",IF(score_n_equations!D14&gt;=3.5,"B",IF(score_n_equations!D14&gt;=2.5,"C",IF(score_n_equations!D14&gt;0,"D")))))</f>
        <v>B</v>
      </c>
      <c r="E14" s="30" t="s">
        <v>48</v>
      </c>
      <c r="F14" s="30" t="s">
        <v>48</v>
      </c>
      <c r="G14" s="30" t="s">
        <v>48</v>
      </c>
      <c r="H14" s="30" t="s">
        <v>47</v>
      </c>
      <c r="I14" s="36" t="str">
        <f>IF(score_n_equations!I14="NULL","NULL",IF(score_n_equations!I14&gt;=4.5,"A",IF(score_n_equations!I14&gt;=3.5,"B",IF(score_n_equations!I14&gt;=2.5,"C",IF(score_n_equations!I14&gt;0,"D")))))</f>
        <v>A</v>
      </c>
      <c r="J14" s="61" t="s">
        <v>49</v>
      </c>
      <c r="K14" s="30" t="s">
        <v>47</v>
      </c>
      <c r="L14" s="30" t="s">
        <v>47</v>
      </c>
      <c r="M14" s="59" t="s">
        <v>48</v>
      </c>
      <c r="N14" s="30" t="s">
        <v>65</v>
      </c>
      <c r="O14" s="30" t="s">
        <v>65</v>
      </c>
      <c r="P14" s="36" t="str">
        <f>IF(score_n_equations!P14="NULL","NULL",IF(score_n_equations!P14&gt;=4.5,"A",IF(score_n_equations!P14&gt;=3.5,"B",IF(score_n_equations!P14&gt;=2.5,"C",IF(score_n_equations!P14&gt;0,"D")))))</f>
        <v>B</v>
      </c>
      <c r="Q14" s="30" t="s">
        <v>48</v>
      </c>
      <c r="R14" s="30" t="s">
        <v>48</v>
      </c>
      <c r="S14" s="30" t="s">
        <v>48</v>
      </c>
      <c r="T14" s="36" t="str">
        <f>IF(score_n_equations!T14="NULL","NULL",IF(score_n_equations!T14&gt;=4.5,"A",IF(score_n_equations!T14&gt;=3.5,"B",IF(score_n_equations!T14&gt;=2.5,"C",IF(score_n_equations!T14&gt;0,"D")))))</f>
        <v>A</v>
      </c>
      <c r="U14" s="30" t="s">
        <v>48</v>
      </c>
      <c r="V14" s="30" t="s">
        <v>47</v>
      </c>
      <c r="W14" s="30" t="s">
        <v>47</v>
      </c>
      <c r="X14" s="36" t="str">
        <f>IF(score_n_equations!X14="NULL","NULL",IF(score_n_equations!X14&gt;=4.5,"A",IF(score_n_equations!X14&gt;=3.5,"B",IF(score_n_equations!X14&gt;=2.5,"C",IF(score_n_equations!X14&gt;0,"D")))))</f>
        <v>B</v>
      </c>
      <c r="Y14" s="30" t="s">
        <v>48</v>
      </c>
      <c r="Z14" s="30" t="s">
        <v>48</v>
      </c>
      <c r="AA14" s="36" t="str">
        <f>IF(score_n_equations!AA14="NULL","NULL",IF(score_n_equations!AA14&gt;=4.5,"A",IF(score_n_equations!AA14&gt;=3.5,"B",IF(score_n_equations!AA14&gt;=2.5,"C",IF(score_n_equations!AA14&gt;0,"D")))))</f>
        <v>A</v>
      </c>
      <c r="AB14" s="49" t="str">
        <f>IF(score_n_equations!AB14="NULL","NULL",IF(score_n_equations!AB14&gt;=4.5,"A",IF(score_n_equations!AB14&gt;=3.5,"B",IF(score_n_equations!AB14&gt;=2.5,"C",IF(score_n_equations!AB14&gt;0,"D")))))</f>
        <v>B</v>
      </c>
      <c r="AC14" s="49" t="str">
        <f>IF(score_n_equations!AC14="NULL","NULL",IF(score_n_equations!AC14&gt;=4.5,"A",IF(score_n_equations!AC14&gt;=3.5,"B",IF(score_n_equations!AC14&gt;=2.5,"C",IF(score_n_equations!AC14&gt;0,"D")))))</f>
        <v>B</v>
      </c>
      <c r="AD14" s="53" t="str">
        <f>IF(score_n_equations!AD14="NULL","NULL",IF(score_n_equations!AD14&gt;=4.5,"A",IF(score_n_equations!AD14&gt;=3.5,"B",IF(score_n_equations!AD14&gt;=2.5,"C",IF(score_n_equations!AD14&gt;0,"D")))))</f>
        <v>B</v>
      </c>
      <c r="AE14" s="53" t="str">
        <f>IF(score_n_equations!AE14="NULL","NULL",IF(score_n_equations!AE14&gt;=4.5,"A",IF(score_n_equations!AE14&gt;=3.5,"B",IF(score_n_equations!AE14&gt;=2.5,"C",IF(score_n_equations!AE14&gt;0,"D")))))</f>
        <v>A</v>
      </c>
    </row>
    <row r="15" spans="1:32" x14ac:dyDescent="0.25">
      <c r="A15" s="33">
        <v>1717</v>
      </c>
      <c r="B15" s="30" t="s">
        <v>46</v>
      </c>
      <c r="C15" s="30" t="s">
        <v>47</v>
      </c>
      <c r="D15" s="36" t="str">
        <f>IF(score_n_equations!D15="NULL","NULL",IF(score_n_equations!D15&gt;=4.5,"A",IF(score_n_equations!D15&gt;=3.5,"B",IF(score_n_equations!D15&gt;=2.5,"C",IF(score_n_equations!D15&gt;0,"D")))))</f>
        <v>B</v>
      </c>
      <c r="E15" s="30" t="s">
        <v>47</v>
      </c>
      <c r="F15" s="30" t="s">
        <v>46</v>
      </c>
      <c r="G15" s="30" t="s">
        <v>47</v>
      </c>
      <c r="H15" s="30" t="s">
        <v>46</v>
      </c>
      <c r="I15" s="36" t="str">
        <f>IF(score_n_equations!I15="NULL","NULL",IF(score_n_equations!I15&gt;=4.5,"A",IF(score_n_equations!I15&gt;=3.5,"B",IF(score_n_equations!I15&gt;=2.5,"C",IF(score_n_equations!I15&gt;0,"D")))))</f>
        <v>C</v>
      </c>
      <c r="J15" s="30" t="s">
        <v>49</v>
      </c>
      <c r="K15" s="30" t="s">
        <v>46</v>
      </c>
      <c r="L15" s="30" t="s">
        <v>47</v>
      </c>
      <c r="M15" s="30" t="s">
        <v>48</v>
      </c>
      <c r="N15" s="30" t="s">
        <v>65</v>
      </c>
      <c r="O15" s="30" t="s">
        <v>65</v>
      </c>
      <c r="P15" s="36" t="str">
        <f>IF(score_n_equations!P15="NULL","NULL",IF(score_n_equations!P15&gt;=4.5,"A",IF(score_n_equations!P15&gt;=3.5,"B",IF(score_n_equations!P15&gt;=2.5,"C",IF(score_n_equations!P15&gt;0,"D")))))</f>
        <v>B</v>
      </c>
      <c r="Q15" s="30" t="s">
        <v>66</v>
      </c>
      <c r="R15" s="30" t="s">
        <v>66</v>
      </c>
      <c r="S15" s="30" t="s">
        <v>46</v>
      </c>
      <c r="T15" s="36" t="str">
        <f>IF(score_n_equations!T15="NULL","NULL",IF(score_n_equations!T15&gt;=4.5,"A",IF(score_n_equations!T15&gt;=3.5,"B",IF(score_n_equations!T15&gt;=2.5,"C",IF(score_n_equations!T15&gt;0,"D")))))</f>
        <v>D</v>
      </c>
      <c r="U15" s="30" t="s">
        <v>47</v>
      </c>
      <c r="V15" s="61" t="s">
        <v>48</v>
      </c>
      <c r="W15" s="30" t="s">
        <v>48</v>
      </c>
      <c r="X15" s="36" t="str">
        <f>IF(score_n_equations!X15="NULL","NULL",IF(score_n_equations!X15&gt;=4.5,"A",IF(score_n_equations!X15&gt;=3.5,"B",IF(score_n_equations!X15&gt;=2.5,"C",IF(score_n_equations!X15&gt;0,"D")))))</f>
        <v>A</v>
      </c>
      <c r="Y15" s="30" t="s">
        <v>48</v>
      </c>
      <c r="Z15" s="30" t="s">
        <v>48</v>
      </c>
      <c r="AA15" s="36" t="str">
        <f>IF(score_n_equations!AA15="NULL","NULL",IF(score_n_equations!AA15&gt;=4.5,"A",IF(score_n_equations!AA15&gt;=3.5,"B",IF(score_n_equations!AA15&gt;=2.5,"C",IF(score_n_equations!AA15&gt;0,"D")))))</f>
        <v>A</v>
      </c>
      <c r="AB15" s="49" t="str">
        <f>IF(score_n_equations!AB15="NULL","NULL",IF(score_n_equations!AB15&gt;=4.5,"A",IF(score_n_equations!AB15&gt;=3.5,"B",IF(score_n_equations!AB15&gt;=2.5,"C",IF(score_n_equations!AB15&gt;0,"D")))))</f>
        <v>C</v>
      </c>
      <c r="AC15" s="49" t="str">
        <f>IF(score_n_equations!AC15="NULL","NULL",IF(score_n_equations!AC15&gt;=4.5,"A",IF(score_n_equations!AC15&gt;=3.5,"B",IF(score_n_equations!AC15&gt;=2.5,"C",IF(score_n_equations!AC15&gt;0,"D")))))</f>
        <v>C</v>
      </c>
      <c r="AD15" s="53" t="str">
        <f>IF(score_n_equations!AD15="NULL","NULL",IF(score_n_equations!AD15&gt;=4.5,"A",IF(score_n_equations!AD15&gt;=3.5,"B",IF(score_n_equations!AD15&gt;=2.5,"C",IF(score_n_equations!AD15&gt;0,"D")))))</f>
        <v>C</v>
      </c>
      <c r="AE15" s="53" t="str">
        <f>IF(score_n_equations!AE15="NULL","NULL",IF(score_n_equations!AE15&gt;=4.5,"A",IF(score_n_equations!AE15&gt;=3.5,"B",IF(score_n_equations!AE15&gt;=2.5,"C",IF(score_n_equations!AE15&gt;0,"D")))))</f>
        <v>B</v>
      </c>
    </row>
    <row r="16" spans="1:32" x14ac:dyDescent="0.25">
      <c r="A16" s="33">
        <v>1729</v>
      </c>
      <c r="B16" s="30" t="s">
        <v>46</v>
      </c>
      <c r="C16" s="30" t="s">
        <v>66</v>
      </c>
      <c r="D16" s="36" t="str">
        <f>IF(score_n_equations!D16="NULL","NULL",IF(score_n_equations!D16&gt;=4.5,"A",IF(score_n_equations!D16&gt;=3.5,"B",IF(score_n_equations!D16&gt;=2.5,"C",IF(score_n_equations!D16&gt;0,"D")))))</f>
        <v>D</v>
      </c>
      <c r="E16" s="30" t="s">
        <v>48</v>
      </c>
      <c r="F16" s="59" t="s">
        <v>46</v>
      </c>
      <c r="G16" s="30" t="s">
        <v>47</v>
      </c>
      <c r="H16" s="59" t="s">
        <v>46</v>
      </c>
      <c r="I16" s="36" t="str">
        <f>IF(score_n_equations!I16="NULL","NULL",IF(score_n_equations!I16&gt;=4.5,"A",IF(score_n_equations!I16&gt;=3.5,"B",IF(score_n_equations!I16&gt;=2.5,"C",IF(score_n_equations!I16&gt;0,"D")))))</f>
        <v>B</v>
      </c>
      <c r="J16" s="30" t="s">
        <v>46</v>
      </c>
      <c r="K16" s="30" t="s">
        <v>46</v>
      </c>
      <c r="L16" s="30" t="s">
        <v>46</v>
      </c>
      <c r="M16" s="30" t="s">
        <v>46</v>
      </c>
      <c r="N16" s="30" t="s">
        <v>65</v>
      </c>
      <c r="O16" s="30" t="s">
        <v>65</v>
      </c>
      <c r="P16" s="36" t="str">
        <f>IF(score_n_equations!P16="NULL","NULL",IF(score_n_equations!P16&gt;=4.5,"A",IF(score_n_equations!P16&gt;=3.5,"B",IF(score_n_equations!P16&gt;=2.5,"C",IF(score_n_equations!P16&gt;0,"D")))))</f>
        <v>C</v>
      </c>
      <c r="Q16" s="30" t="s">
        <v>48</v>
      </c>
      <c r="R16" s="59" t="s">
        <v>46</v>
      </c>
      <c r="S16" s="30" t="s">
        <v>46</v>
      </c>
      <c r="T16" s="36" t="str">
        <f>IF(score_n_equations!T16="NULL","NULL",IF(score_n_equations!T16&gt;=4.5,"A",IF(score_n_equations!T16&gt;=3.5,"B",IF(score_n_equations!T16&gt;=2.5,"C",IF(score_n_equations!T16&gt;0,"D")))))</f>
        <v>B</v>
      </c>
      <c r="U16" s="59" t="s">
        <v>46</v>
      </c>
      <c r="V16" s="30" t="s">
        <v>48</v>
      </c>
      <c r="W16" s="30" t="s">
        <v>47</v>
      </c>
      <c r="X16" s="36" t="str">
        <f>IF(score_n_equations!X16="NULL","NULL",IF(score_n_equations!X16&gt;=4.5,"A",IF(score_n_equations!X16&gt;=3.5,"B",IF(score_n_equations!X16&gt;=2.5,"C",IF(score_n_equations!X16&gt;0,"D")))))</f>
        <v>B</v>
      </c>
      <c r="Y16" s="30" t="s">
        <v>47</v>
      </c>
      <c r="Z16" s="30" t="s">
        <v>48</v>
      </c>
      <c r="AA16" s="36" t="str">
        <f>IF(score_n_equations!AA16="NULL","NULL",IF(score_n_equations!AA16&gt;=4.5,"A",IF(score_n_equations!AA16&gt;=3.5,"B",IF(score_n_equations!AA16&gt;=2.5,"C",IF(score_n_equations!AA16&gt;0,"D")))))</f>
        <v>A</v>
      </c>
      <c r="AB16" s="49" t="str">
        <f>IF(score_n_equations!AB16="NULL","NULL",IF(score_n_equations!AB16&gt;=4.5,"A",IF(score_n_equations!AB16&gt;=3.5,"B",IF(score_n_equations!AB16&gt;=2.5,"C",IF(score_n_equations!AB16&gt;0,"D")))))</f>
        <v>C</v>
      </c>
      <c r="AC16" s="49" t="str">
        <f>IF(score_n_equations!AC16="NULL","NULL",IF(score_n_equations!AC16&gt;=4.5,"A",IF(score_n_equations!AC16&gt;=3.5,"B",IF(score_n_equations!AC16&gt;=2.5,"C",IF(score_n_equations!AC16&gt;0,"D")))))</f>
        <v>C</v>
      </c>
      <c r="AD16" s="53" t="str">
        <f>IF(score_n_equations!AD16="NULL","NULL",IF(score_n_equations!AD16&gt;=4.5,"A",IF(score_n_equations!AD16&gt;=3.5,"B",IF(score_n_equations!AD16&gt;=2.5,"C",IF(score_n_equations!AD16&gt;0,"D")))))</f>
        <v>C</v>
      </c>
      <c r="AE16" s="53" t="str">
        <f>IF(score_n_equations!AE16="NULL","NULL",IF(score_n_equations!AE16&gt;=4.5,"A",IF(score_n_equations!AE16&gt;=3.5,"B",IF(score_n_equations!AE16&gt;=2.5,"C",IF(score_n_equations!AE16&gt;0,"D")))))</f>
        <v>B</v>
      </c>
    </row>
    <row r="17" spans="1:31" x14ac:dyDescent="0.25">
      <c r="A17" s="33">
        <v>1731</v>
      </c>
      <c r="B17" s="30" t="s">
        <v>47</v>
      </c>
      <c r="C17" s="30" t="s">
        <v>47</v>
      </c>
      <c r="D17" s="36" t="str">
        <f>IF(score_n_equations!D17="NULL","NULL",IF(score_n_equations!D17&gt;=4.5,"A",IF(score_n_equations!D17&gt;=3.5,"B",IF(score_n_equations!D17&gt;=2.5,"C",IF(score_n_equations!D17&gt;0,"D")))))</f>
        <v>B</v>
      </c>
      <c r="E17" s="30" t="s">
        <v>47</v>
      </c>
      <c r="F17" s="30" t="s">
        <v>47</v>
      </c>
      <c r="G17" s="30" t="s">
        <v>66</v>
      </c>
      <c r="H17" s="30" t="s">
        <v>46</v>
      </c>
      <c r="I17" s="36" t="str">
        <f>IF(score_n_equations!I17="NULL","NULL",IF(score_n_equations!I17&gt;=4.5,"A",IF(score_n_equations!I17&gt;=3.5,"B",IF(score_n_equations!I17&gt;=2.5,"C",IF(score_n_equations!I17&gt;0,"D")))))</f>
        <v>C</v>
      </c>
      <c r="J17" s="30" t="s">
        <v>66</v>
      </c>
      <c r="K17" s="30" t="s">
        <v>46</v>
      </c>
      <c r="L17" s="30" t="s">
        <v>66</v>
      </c>
      <c r="M17" s="59" t="s">
        <v>46</v>
      </c>
      <c r="N17" s="30" t="s">
        <v>65</v>
      </c>
      <c r="O17" s="30" t="s">
        <v>65</v>
      </c>
      <c r="P17" s="36" t="str">
        <f>IF(score_n_equations!P17="NULL","NULL",IF(score_n_equations!P17&gt;=4.5,"A",IF(score_n_equations!P17&gt;=3.5,"B",IF(score_n_equations!P17&gt;=2.5,"C",IF(score_n_equations!P17&gt;0,"D")))))</f>
        <v>D</v>
      </c>
      <c r="Q17" s="30" t="s">
        <v>48</v>
      </c>
      <c r="R17" s="30" t="s">
        <v>46</v>
      </c>
      <c r="S17" s="30" t="s">
        <v>46</v>
      </c>
      <c r="T17" s="36" t="str">
        <f>IF(score_n_equations!T17="NULL","NULL",IF(score_n_equations!T17&gt;=4.5,"A",IF(score_n_equations!T17&gt;=3.5,"B",IF(score_n_equations!T17&gt;=2.5,"C",IF(score_n_equations!T17&gt;0,"D")))))</f>
        <v>B</v>
      </c>
      <c r="U17" s="30" t="s">
        <v>48</v>
      </c>
      <c r="V17" s="30" t="s">
        <v>47</v>
      </c>
      <c r="W17" s="30" t="s">
        <v>47</v>
      </c>
      <c r="X17" s="36" t="str">
        <f>IF(score_n_equations!X17="NULL","NULL",IF(score_n_equations!X17&gt;=4.5,"A",IF(score_n_equations!X17&gt;=3.5,"B",IF(score_n_equations!X17&gt;=2.5,"C",IF(score_n_equations!X17&gt;0,"D")))))</f>
        <v>B</v>
      </c>
      <c r="Y17" s="30" t="s">
        <v>47</v>
      </c>
      <c r="Z17" s="30" t="s">
        <v>66</v>
      </c>
      <c r="AA17" s="36" t="str">
        <f>IF(score_n_equations!AA17="NULL","NULL",IF(score_n_equations!AA17&gt;=4.5,"A",IF(score_n_equations!AA17&gt;=3.5,"B",IF(score_n_equations!AA17&gt;=2.5,"C",IF(score_n_equations!AA17&gt;0,"D")))))</f>
        <v>C</v>
      </c>
      <c r="AB17" s="49" t="str">
        <f>IF(score_n_equations!AB17="NULL","NULL",IF(score_n_equations!AB17&gt;=4.5,"A",IF(score_n_equations!AB17&gt;=3.5,"B",IF(score_n_equations!AB17&gt;=2.5,"C",IF(score_n_equations!AB17&gt;0,"D")))))</f>
        <v>C</v>
      </c>
      <c r="AC17" s="49" t="str">
        <f>IF(score_n_equations!AC17="NULL","NULL",IF(score_n_equations!AC17&gt;=4.5,"A",IF(score_n_equations!AC17&gt;=3.5,"B",IF(score_n_equations!AC17&gt;=2.5,"C",IF(score_n_equations!AC17&gt;0,"D")))))</f>
        <v>C</v>
      </c>
      <c r="AD17" s="53" t="str">
        <f>IF(score_n_equations!AD17="NULL","NULL",IF(score_n_equations!AD17&gt;=4.5,"A",IF(score_n_equations!AD17&gt;=3.5,"B",IF(score_n_equations!AD17&gt;=2.5,"C",IF(score_n_equations!AD17&gt;0,"D")))))</f>
        <v>C</v>
      </c>
      <c r="AE17" s="53" t="str">
        <f>IF(score_n_equations!AE17="NULL","NULL",IF(score_n_equations!AE17&gt;=4.5,"A",IF(score_n_equations!AE17&gt;=3.5,"B",IF(score_n_equations!AE17&gt;=2.5,"C",IF(score_n_equations!AE17&gt;0,"D")))))</f>
        <v>C</v>
      </c>
    </row>
    <row r="18" spans="1:31" x14ac:dyDescent="0.25">
      <c r="A18" s="33">
        <v>1732</v>
      </c>
      <c r="B18" s="30" t="s">
        <v>47</v>
      </c>
      <c r="C18" s="30" t="s">
        <v>47</v>
      </c>
      <c r="D18" s="36" t="str">
        <f>IF(score_n_equations!D18="NULL","NULL",IF(score_n_equations!D18&gt;=4.5,"A",IF(score_n_equations!D18&gt;=3.5,"B",IF(score_n_equations!D18&gt;=2.5,"C",IF(score_n_equations!D18&gt;0,"D")))))</f>
        <v>B</v>
      </c>
      <c r="E18" s="30" t="s">
        <v>48</v>
      </c>
      <c r="F18" s="30" t="s">
        <v>47</v>
      </c>
      <c r="G18" s="30" t="s">
        <v>46</v>
      </c>
      <c r="H18" s="30" t="s">
        <v>47</v>
      </c>
      <c r="I18" s="36" t="str">
        <f>IF(score_n_equations!I18="NULL","NULL",IF(score_n_equations!I18&gt;=4.5,"A",IF(score_n_equations!I18&gt;=3.5,"B",IF(score_n_equations!I18&gt;=2.5,"C",IF(score_n_equations!I18&gt;0,"D")))))</f>
        <v>B</v>
      </c>
      <c r="J18" s="30" t="s">
        <v>66</v>
      </c>
      <c r="K18" s="30" t="s">
        <v>49</v>
      </c>
      <c r="L18" s="30" t="s">
        <v>46</v>
      </c>
      <c r="M18" s="30" t="s">
        <v>46</v>
      </c>
      <c r="N18" s="30" t="s">
        <v>46</v>
      </c>
      <c r="O18" s="30" t="s">
        <v>48</v>
      </c>
      <c r="P18" s="36" t="str">
        <f>IF(score_n_equations!P18="NULL","NULL",IF(score_n_equations!P18&gt;=4.5,"A",IF(score_n_equations!P18&gt;=3.5,"B",IF(score_n_equations!P18&gt;=2.5,"C",IF(score_n_equations!P18&gt;0,"D")))))</f>
        <v>C</v>
      </c>
      <c r="Q18" s="30" t="s">
        <v>48</v>
      </c>
      <c r="R18" s="30" t="s">
        <v>47</v>
      </c>
      <c r="S18" s="30" t="s">
        <v>46</v>
      </c>
      <c r="T18" s="36" t="str">
        <f>IF(score_n_equations!T18="NULL","NULL",IF(score_n_equations!T18&gt;=4.5,"A",IF(score_n_equations!T18&gt;=3.5,"B",IF(score_n_equations!T18&gt;=2.5,"C",IF(score_n_equations!T18&gt;0,"D")))))</f>
        <v>B</v>
      </c>
      <c r="U18" s="30" t="s">
        <v>47</v>
      </c>
      <c r="V18" s="30" t="s">
        <v>47</v>
      </c>
      <c r="W18" s="30" t="s">
        <v>48</v>
      </c>
      <c r="X18" s="36" t="str">
        <f>IF(score_n_equations!X18="NULL","NULL",IF(score_n_equations!X18&gt;=4.5,"A",IF(score_n_equations!X18&gt;=3.5,"B",IF(score_n_equations!X18&gt;=2.5,"C",IF(score_n_equations!X18&gt;0,"D")))))</f>
        <v>B</v>
      </c>
      <c r="Y18" s="30" t="s">
        <v>47</v>
      </c>
      <c r="Z18" s="30" t="s">
        <v>46</v>
      </c>
      <c r="AA18" s="36" t="str">
        <f>IF(score_n_equations!AA18="NULL","NULL",IF(score_n_equations!AA18&gt;=4.5,"A",IF(score_n_equations!AA18&gt;=3.5,"B",IF(score_n_equations!AA18&gt;=2.5,"C",IF(score_n_equations!AA18&gt;0,"D")))))</f>
        <v>B</v>
      </c>
      <c r="AB18" s="49" t="str">
        <f>IF(score_n_equations!AB18="NULL","NULL",IF(score_n_equations!AB18&gt;=4.5,"A",IF(score_n_equations!AB18&gt;=3.5,"B",IF(score_n_equations!AB18&gt;=2.5,"C",IF(score_n_equations!AB18&gt;0,"D")))))</f>
        <v>B</v>
      </c>
      <c r="AC18" s="49" t="str">
        <f>IF(score_n_equations!AC18="NULL","NULL",IF(score_n_equations!AC18&gt;=4.5,"A",IF(score_n_equations!AC18&gt;=3.5,"B",IF(score_n_equations!AC18&gt;=2.5,"C",IF(score_n_equations!AC18&gt;0,"D")))))</f>
        <v>C</v>
      </c>
      <c r="AD18" s="53" t="str">
        <f>IF(score_n_equations!AD18="NULL","NULL",IF(score_n_equations!AD18&gt;=4.5,"A",IF(score_n_equations!AD18&gt;=3.5,"B",IF(score_n_equations!AD18&gt;=2.5,"C",IF(score_n_equations!AD18&gt;0,"D")))))</f>
        <v>B</v>
      </c>
      <c r="AE18" s="53" t="str">
        <f>IF(score_n_equations!AE18="NULL","NULL",IF(score_n_equations!AE18&gt;=4.5,"A",IF(score_n_equations!AE18&gt;=3.5,"B",IF(score_n_equations!AE18&gt;=2.5,"C",IF(score_n_equations!AE18&gt;0,"D")))))</f>
        <v>B</v>
      </c>
    </row>
    <row r="19" spans="1:31" x14ac:dyDescent="0.25">
      <c r="A19" s="33">
        <v>1743</v>
      </c>
      <c r="B19" s="59" t="s">
        <v>48</v>
      </c>
      <c r="C19" s="30" t="s">
        <v>47</v>
      </c>
      <c r="D19" s="36" t="str">
        <f>IF(score_n_equations!D19="NULL","NULL",IF(score_n_equations!D19&gt;=4.5,"A",IF(score_n_equations!D19&gt;=3.5,"B",IF(score_n_equations!D19&gt;=2.5,"C",IF(score_n_equations!D19&gt;0,"D")))))</f>
        <v>A</v>
      </c>
      <c r="E19" s="59" t="s">
        <v>48</v>
      </c>
      <c r="F19" s="59" t="s">
        <v>48</v>
      </c>
      <c r="G19" s="30" t="s">
        <v>66</v>
      </c>
      <c r="H19" s="30" t="s">
        <v>46</v>
      </c>
      <c r="I19" s="36" t="str">
        <f>IF(score_n_equations!I19="NULL","NULL",IF(score_n_equations!I19&gt;=4.5,"A",IF(score_n_equations!I19&gt;=3.5,"B",IF(score_n_equations!I19&gt;=2.5,"C",IF(score_n_equations!I19&gt;0,"D")))))</f>
        <v>C</v>
      </c>
      <c r="J19" s="30" t="s">
        <v>46</v>
      </c>
      <c r="K19" s="59" t="s">
        <v>47</v>
      </c>
      <c r="L19" s="59" t="s">
        <v>48</v>
      </c>
      <c r="M19" s="59" t="s">
        <v>48</v>
      </c>
      <c r="N19" s="30" t="s">
        <v>65</v>
      </c>
      <c r="O19" s="30" t="s">
        <v>65</v>
      </c>
      <c r="P19" s="36" t="str">
        <f>IF(score_n_equations!P19="NULL","NULL",IF(score_n_equations!P19&gt;=4.5,"A",IF(score_n_equations!P19&gt;=3.5,"B",IF(score_n_equations!P19&gt;=2.5,"C",IF(score_n_equations!P19&gt;0,"D")))))</f>
        <v>B</v>
      </c>
      <c r="Q19" s="30" t="s">
        <v>48</v>
      </c>
      <c r="R19" s="59" t="s">
        <v>47</v>
      </c>
      <c r="S19" s="30" t="s">
        <v>48</v>
      </c>
      <c r="T19" s="36" t="str">
        <f>IF(score_n_equations!T19="NULL","NULL",IF(score_n_equations!T19&gt;=4.5,"A",IF(score_n_equations!T19&gt;=3.5,"B",IF(score_n_equations!T19&gt;=2.5,"C",IF(score_n_equations!T19&gt;0,"D")))))</f>
        <v>A</v>
      </c>
      <c r="U19" s="30" t="s">
        <v>46</v>
      </c>
      <c r="V19" s="30" t="s">
        <v>48</v>
      </c>
      <c r="W19" s="30" t="s">
        <v>46</v>
      </c>
      <c r="X19" s="36" t="str">
        <f>IF(score_n_equations!X19="NULL","NULL",IF(score_n_equations!X19&gt;=4.5,"A",IF(score_n_equations!X19&gt;=3.5,"B",IF(score_n_equations!X19&gt;=2.5,"C",IF(score_n_equations!X19&gt;0,"D")))))</f>
        <v>B</v>
      </c>
      <c r="Y19" s="30" t="s">
        <v>48</v>
      </c>
      <c r="Z19" s="30" t="s">
        <v>48</v>
      </c>
      <c r="AA19" s="36" t="str">
        <f>IF(score_n_equations!AA19="NULL","NULL",IF(score_n_equations!AA19&gt;=4.5,"A",IF(score_n_equations!AA19&gt;=3.5,"B",IF(score_n_equations!AA19&gt;=2.5,"C",IF(score_n_equations!AA19&gt;0,"D")))))</f>
        <v>A</v>
      </c>
      <c r="AB19" s="49" t="str">
        <f>IF(score_n_equations!AB19="NULL","NULL",IF(score_n_equations!AB19&gt;=4.5,"A",IF(score_n_equations!AB19&gt;=3.5,"B",IF(score_n_equations!AB19&gt;=2.5,"C",IF(score_n_equations!AB19&gt;0,"D")))))</f>
        <v>B</v>
      </c>
      <c r="AC19" s="49" t="str">
        <f>IF(score_n_equations!AC19="NULL","NULL",IF(score_n_equations!AC19&gt;=4.5,"A",IF(score_n_equations!AC19&gt;=3.5,"B",IF(score_n_equations!AC19&gt;=2.5,"C",IF(score_n_equations!AC19&gt;0,"D")))))</f>
        <v>B</v>
      </c>
      <c r="AD19" s="53" t="str">
        <f>IF(score_n_equations!AD19="NULL","NULL",IF(score_n_equations!AD19&gt;=4.5,"A",IF(score_n_equations!AD19&gt;=3.5,"B",IF(score_n_equations!AD19&gt;=2.5,"C",IF(score_n_equations!AD19&gt;0,"D")))))</f>
        <v>B</v>
      </c>
      <c r="AE19" s="53" t="str">
        <f>IF(score_n_equations!AE19="NULL","NULL",IF(score_n_equations!AE19&gt;=4.5,"A",IF(score_n_equations!AE19&gt;=3.5,"B",IF(score_n_equations!AE19&gt;=2.5,"C",IF(score_n_equations!AE19&gt;0,"D")))))</f>
        <v>A</v>
      </c>
    </row>
    <row r="20" spans="1:31" x14ac:dyDescent="0.25">
      <c r="A20" s="33">
        <v>1774</v>
      </c>
      <c r="B20" s="30" t="s">
        <v>47</v>
      </c>
      <c r="C20" s="30" t="s">
        <v>47</v>
      </c>
      <c r="D20" s="36" t="str">
        <f>IF(score_n_equations!D20="NULL","NULL",IF(score_n_equations!D20&gt;=4.5,"A",IF(score_n_equations!D20&gt;=3.5,"B",IF(score_n_equations!D20&gt;=2.5,"C",IF(score_n_equations!D20&gt;0,"D")))))</f>
        <v>B</v>
      </c>
      <c r="E20" s="30" t="s">
        <v>47</v>
      </c>
      <c r="F20" s="30" t="s">
        <v>47</v>
      </c>
      <c r="G20" s="30" t="s">
        <v>66</v>
      </c>
      <c r="H20" s="30" t="s">
        <v>48</v>
      </c>
      <c r="I20" s="36" t="str">
        <f>IF(score_n_equations!I20="NULL","NULL",IF(score_n_equations!I20&gt;=4.5,"A",IF(score_n_equations!I20&gt;=3.5,"B",IF(score_n_equations!I20&gt;=2.5,"C",IF(score_n_equations!I20&gt;0,"D")))))</f>
        <v>C</v>
      </c>
      <c r="J20" s="30" t="s">
        <v>46</v>
      </c>
      <c r="K20" s="30" t="s">
        <v>47</v>
      </c>
      <c r="L20" s="30" t="s">
        <v>48</v>
      </c>
      <c r="M20" s="30" t="s">
        <v>48</v>
      </c>
      <c r="N20" s="30" t="s">
        <v>65</v>
      </c>
      <c r="O20" s="30" t="s">
        <v>65</v>
      </c>
      <c r="P20" s="36" t="str">
        <f>IF(score_n_equations!P20="NULL","NULL",IF(score_n_equations!P20&gt;=4.5,"A",IF(score_n_equations!P20&gt;=3.5,"B",IF(score_n_equations!P20&gt;=2.5,"C",IF(score_n_equations!P20&gt;0,"D")))))</f>
        <v>B</v>
      </c>
      <c r="Q20" s="30" t="s">
        <v>48</v>
      </c>
      <c r="R20" s="30" t="s">
        <v>48</v>
      </c>
      <c r="S20" s="30" t="s">
        <v>48</v>
      </c>
      <c r="T20" s="36" t="str">
        <f>IF(score_n_equations!T20="NULL","NULL",IF(score_n_equations!T20&gt;=4.5,"A",IF(score_n_equations!T20&gt;=3.5,"B",IF(score_n_equations!T20&gt;=2.5,"C",IF(score_n_equations!T20&gt;0,"D")))))</f>
        <v>A</v>
      </c>
      <c r="U20" s="30" t="s">
        <v>48</v>
      </c>
      <c r="V20" s="30" t="s">
        <v>48</v>
      </c>
      <c r="W20" s="30" t="s">
        <v>48</v>
      </c>
      <c r="X20" s="36" t="str">
        <f>IF(score_n_equations!X20="NULL","NULL",IF(score_n_equations!X20&gt;=4.5,"A",IF(score_n_equations!X20&gt;=3.5,"B",IF(score_n_equations!X20&gt;=2.5,"C",IF(score_n_equations!X20&gt;0,"D")))))</f>
        <v>A</v>
      </c>
      <c r="Y20" s="30" t="s">
        <v>48</v>
      </c>
      <c r="Z20" s="30" t="s">
        <v>46</v>
      </c>
      <c r="AA20" s="36" t="str">
        <f>IF(score_n_equations!AA20="NULL","NULL",IF(score_n_equations!AA20&gt;=4.5,"A",IF(score_n_equations!AA20&gt;=3.5,"B",IF(score_n_equations!AA20&gt;=2.5,"C",IF(score_n_equations!AA20&gt;0,"D")))))</f>
        <v>B</v>
      </c>
      <c r="AB20" s="49" t="str">
        <f>IF(score_n_equations!AB20="NULL","NULL",IF(score_n_equations!AB20&gt;=4.5,"A",IF(score_n_equations!AB20&gt;=3.5,"B",IF(score_n_equations!AB20&gt;=2.5,"C",IF(score_n_equations!AB20&gt;0,"D")))))</f>
        <v>B</v>
      </c>
      <c r="AC20" s="49" t="str">
        <f>IF(score_n_equations!AC20="NULL","NULL",IF(score_n_equations!AC20&gt;=4.5,"A",IF(score_n_equations!AC20&gt;=3.5,"B",IF(score_n_equations!AC20&gt;=2.5,"C",IF(score_n_equations!AC20&gt;0,"D")))))</f>
        <v>A</v>
      </c>
      <c r="AD20" s="53" t="str">
        <f>IF(score_n_equations!AD20="NULL","NULL",IF(score_n_equations!AD20&gt;=4.5,"A",IF(score_n_equations!AD20&gt;=3.5,"B",IF(score_n_equations!AD20&gt;=2.5,"C",IF(score_n_equations!AD20&gt;0,"D")))))</f>
        <v>B</v>
      </c>
      <c r="AE20" s="53" t="str">
        <f>IF(score_n_equations!AE20="NULL","NULL",IF(score_n_equations!AE20&gt;=4.5,"A",IF(score_n_equations!AE20&gt;=3.5,"B",IF(score_n_equations!AE20&gt;=2.5,"C",IF(score_n_equations!AE20&gt;0,"D")))))</f>
        <v>A</v>
      </c>
    </row>
    <row r="21" spans="1:31" x14ac:dyDescent="0.25">
      <c r="A21" s="33">
        <v>1785</v>
      </c>
      <c r="B21" s="30" t="s">
        <v>47</v>
      </c>
      <c r="C21" s="30" t="s">
        <v>47</v>
      </c>
      <c r="D21" s="36" t="str">
        <f>IF(score_n_equations!D21="NULL","NULL",IF(score_n_equations!D21&gt;=4.5,"A",IF(score_n_equations!D21&gt;=3.5,"B",IF(score_n_equations!D21&gt;=2.5,"C",IF(score_n_equations!D21&gt;0,"D")))))</f>
        <v>B</v>
      </c>
      <c r="E21" s="30" t="s">
        <v>47</v>
      </c>
      <c r="F21" s="30" t="s">
        <v>48</v>
      </c>
      <c r="G21" s="30" t="s">
        <v>46</v>
      </c>
      <c r="H21" s="30" t="s">
        <v>48</v>
      </c>
      <c r="I21" s="36" t="str">
        <f>IF(score_n_equations!I21="NULL","NULL",IF(score_n_equations!I21&gt;=4.5,"A",IF(score_n_equations!I21&gt;=3.5,"B",IF(score_n_equations!I21&gt;=2.5,"C",IF(score_n_equations!I21&gt;0,"D")))))</f>
        <v>B</v>
      </c>
      <c r="J21" s="30" t="s">
        <v>46</v>
      </c>
      <c r="K21" s="30" t="s">
        <v>47</v>
      </c>
      <c r="L21" s="30" t="s">
        <v>47</v>
      </c>
      <c r="M21" s="30" t="s">
        <v>48</v>
      </c>
      <c r="N21" s="30" t="s">
        <v>65</v>
      </c>
      <c r="O21" s="30" t="s">
        <v>65</v>
      </c>
      <c r="P21" s="36" t="str">
        <f>IF(score_n_equations!P21="NULL","NULL",IF(score_n_equations!P21&gt;=4.5,"A",IF(score_n_equations!P21&gt;=3.5,"B",IF(score_n_equations!P21&gt;=2.5,"C",IF(score_n_equations!P21&gt;0,"D")))))</f>
        <v>B</v>
      </c>
      <c r="Q21" s="30" t="s">
        <v>48</v>
      </c>
      <c r="R21" s="30" t="s">
        <v>48</v>
      </c>
      <c r="S21" s="30" t="s">
        <v>48</v>
      </c>
      <c r="T21" s="36" t="str">
        <f>IF(score_n_equations!T21="NULL","NULL",IF(score_n_equations!T21&gt;=4.5,"A",IF(score_n_equations!T21&gt;=3.5,"B",IF(score_n_equations!T21&gt;=2.5,"C",IF(score_n_equations!T21&gt;0,"D")))))</f>
        <v>A</v>
      </c>
      <c r="U21" s="30" t="s">
        <v>48</v>
      </c>
      <c r="V21" s="30" t="s">
        <v>48</v>
      </c>
      <c r="W21" s="30" t="s">
        <v>48</v>
      </c>
      <c r="X21" s="36" t="str">
        <f>IF(score_n_equations!X21="NULL","NULL",IF(score_n_equations!X21&gt;=4.5,"A",IF(score_n_equations!X21&gt;=3.5,"B",IF(score_n_equations!X21&gt;=2.5,"C",IF(score_n_equations!X21&gt;0,"D")))))</f>
        <v>A</v>
      </c>
      <c r="Y21" s="30" t="s">
        <v>48</v>
      </c>
      <c r="Z21" s="30" t="s">
        <v>48</v>
      </c>
      <c r="AA21" s="36" t="str">
        <f>IF(score_n_equations!AA21="NULL","NULL",IF(score_n_equations!AA21&gt;=4.5,"A",IF(score_n_equations!AA21&gt;=3.5,"B",IF(score_n_equations!AA21&gt;=2.5,"C",IF(score_n_equations!AA21&gt;0,"D")))))</f>
        <v>A</v>
      </c>
      <c r="AB21" s="49" t="str">
        <f>IF(score_n_equations!AB21="NULL","NULL",IF(score_n_equations!AB21&gt;=4.5,"A",IF(score_n_equations!AB21&gt;=3.5,"B",IF(score_n_equations!AB21&gt;=2.5,"C",IF(score_n_equations!AB21&gt;0,"D")))))</f>
        <v>B</v>
      </c>
      <c r="AC21" s="49" t="str">
        <f>IF(score_n_equations!AC21="NULL","NULL",IF(score_n_equations!AC21&gt;=4.5,"A",IF(score_n_equations!AC21&gt;=3.5,"B",IF(score_n_equations!AC21&gt;=2.5,"C",IF(score_n_equations!AC21&gt;0,"D")))))</f>
        <v>B</v>
      </c>
      <c r="AD21" s="53" t="str">
        <f>IF(score_n_equations!AD21="NULL","NULL",IF(score_n_equations!AD21&gt;=4.5,"A",IF(score_n_equations!AD21&gt;=3.5,"B",IF(score_n_equations!AD21&gt;=2.5,"C",IF(score_n_equations!AD21&gt;0,"D")))))</f>
        <v>B</v>
      </c>
      <c r="AE21" s="53" t="str">
        <f>IF(score_n_equations!AE21="NULL","NULL",IF(score_n_equations!AE21&gt;=4.5,"A",IF(score_n_equations!AE21&gt;=3.5,"B",IF(score_n_equations!AE21&gt;=2.5,"C",IF(score_n_equations!AE21&gt;0,"D")))))</f>
        <v>A</v>
      </c>
    </row>
    <row r="22" spans="1:31" x14ac:dyDescent="0.25">
      <c r="A22" s="33">
        <v>1857</v>
      </c>
      <c r="B22" s="30" t="s">
        <v>47</v>
      </c>
      <c r="C22" s="30" t="s">
        <v>47</v>
      </c>
      <c r="D22" s="36" t="str">
        <f>IF(score_n_equations!D22="NULL","NULL",IF(score_n_equations!D22&gt;=4.5,"A",IF(score_n_equations!D22&gt;=3.5,"B",IF(score_n_equations!D22&gt;=2.5,"C",IF(score_n_equations!D22&gt;0,"D")))))</f>
        <v>B</v>
      </c>
      <c r="E22" s="30" t="s">
        <v>48</v>
      </c>
      <c r="F22" s="30" t="s">
        <v>48</v>
      </c>
      <c r="G22" s="30" t="s">
        <v>46</v>
      </c>
      <c r="H22" s="30" t="s">
        <v>47</v>
      </c>
      <c r="I22" s="36" t="str">
        <f>IF(score_n_equations!I22="NULL","NULL",IF(score_n_equations!I22&gt;=4.5,"A",IF(score_n_equations!I22&gt;=3.5,"B",IF(score_n_equations!I22&gt;=2.5,"C",IF(score_n_equations!I22&gt;0,"D")))))</f>
        <v>B</v>
      </c>
      <c r="J22" s="30" t="s">
        <v>47</v>
      </c>
      <c r="K22" s="30" t="s">
        <v>47</v>
      </c>
      <c r="L22" s="30" t="s">
        <v>48</v>
      </c>
      <c r="M22" s="59" t="s">
        <v>48</v>
      </c>
      <c r="N22" s="30" t="s">
        <v>65</v>
      </c>
      <c r="O22" s="30" t="s">
        <v>65</v>
      </c>
      <c r="P22" s="36" t="str">
        <f>IF(score_n_equations!P22="NULL","NULL",IF(score_n_equations!P22&gt;=4.5,"A",IF(score_n_equations!P22&gt;=3.5,"B",IF(score_n_equations!P22&gt;=2.5,"C",IF(score_n_equations!P22&gt;0,"D")))))</f>
        <v>A</v>
      </c>
      <c r="Q22" s="30" t="s">
        <v>48</v>
      </c>
      <c r="R22" s="30" t="s">
        <v>48</v>
      </c>
      <c r="S22" s="30" t="s">
        <v>48</v>
      </c>
      <c r="T22" s="36" t="str">
        <f>IF(score_n_equations!T22="NULL","NULL",IF(score_n_equations!T22&gt;=4.5,"A",IF(score_n_equations!T22&gt;=3.5,"B",IF(score_n_equations!T22&gt;=2.5,"C",IF(score_n_equations!T22&gt;0,"D")))))</f>
        <v>A</v>
      </c>
      <c r="U22" s="30" t="s">
        <v>47</v>
      </c>
      <c r="V22" s="30" t="s">
        <v>65</v>
      </c>
      <c r="W22" s="30" t="s">
        <v>65</v>
      </c>
      <c r="X22" s="36" t="str">
        <f>IF(score_n_equations!X22="NULL","NULL",IF(score_n_equations!X22&gt;=4.5,"A",IF(score_n_equations!X22&gt;=3.5,"B",IF(score_n_equations!X22&gt;=2.5,"C",IF(score_n_equations!X22&gt;0,"D")))))</f>
        <v>B</v>
      </c>
      <c r="Y22" s="30" t="s">
        <v>47</v>
      </c>
      <c r="Z22" s="30" t="s">
        <v>48</v>
      </c>
      <c r="AA22" s="36" t="str">
        <f>IF(score_n_equations!AA22="NULL","NULL",IF(score_n_equations!AA22&gt;=4.5,"A",IF(score_n_equations!AA22&gt;=3.5,"B",IF(score_n_equations!AA22&gt;=2.5,"C",IF(score_n_equations!AA22&gt;0,"D")))))</f>
        <v>A</v>
      </c>
      <c r="AB22" s="49" t="str">
        <f>IF(score_n_equations!AB22="NULL","NULL",IF(score_n_equations!AB22&gt;=4.5,"A",IF(score_n_equations!AB22&gt;=3.5,"B",IF(score_n_equations!AB22&gt;=2.5,"C",IF(score_n_equations!AB22&gt;0,"D")))))</f>
        <v>B</v>
      </c>
      <c r="AC22" s="49" t="str">
        <f>IF(score_n_equations!AC22="NULL","NULL",IF(score_n_equations!AC22&gt;=4.5,"A",IF(score_n_equations!AC22&gt;=3.5,"B",IF(score_n_equations!AC22&gt;=2.5,"C",IF(score_n_equations!AC22&gt;0,"D")))))</f>
        <v>A</v>
      </c>
      <c r="AD22" s="53" t="str">
        <f>IF(score_n_equations!AD22="NULL","NULL",IF(score_n_equations!AD22&gt;=4.5,"A",IF(score_n_equations!AD22&gt;=3.5,"B",IF(score_n_equations!AD22&gt;=2.5,"C",IF(score_n_equations!AD22&gt;0,"D")))))</f>
        <v>B</v>
      </c>
      <c r="AE22" s="53" t="str">
        <f>IF(score_n_equations!AE22="NULL","NULL",IF(score_n_equations!AE22&gt;=4.5,"A",IF(score_n_equations!AE22&gt;=3.5,"B",IF(score_n_equations!AE22&gt;=2.5,"C",IF(score_n_equations!AE22&gt;0,"D")))))</f>
        <v>A</v>
      </c>
    </row>
    <row r="23" spans="1:31" x14ac:dyDescent="0.25">
      <c r="A23" s="33">
        <v>1867</v>
      </c>
      <c r="B23" s="30" t="s">
        <v>46</v>
      </c>
      <c r="C23" s="30" t="s">
        <v>46</v>
      </c>
      <c r="D23" s="36" t="str">
        <f>IF(score_n_equations!D23="NULL","NULL",IF(score_n_equations!D23&gt;=4.5,"A",IF(score_n_equations!D23&gt;=3.5,"B",IF(score_n_equations!D23&gt;=2.5,"C",IF(score_n_equations!D23&gt;0,"D")))))</f>
        <v>C</v>
      </c>
      <c r="E23" s="30" t="s">
        <v>47</v>
      </c>
      <c r="F23" s="30" t="s">
        <v>46</v>
      </c>
      <c r="G23" s="30" t="s">
        <v>46</v>
      </c>
      <c r="H23" s="30" t="s">
        <v>47</v>
      </c>
      <c r="I23" s="36" t="str">
        <f>IF(score_n_equations!I23="NULL","NULL",IF(score_n_equations!I23&gt;=4.5,"A",IF(score_n_equations!I23&gt;=3.5,"B",IF(score_n_equations!I23&gt;=2.5,"C",IF(score_n_equations!I23&gt;0,"D")))))</f>
        <v>C</v>
      </c>
      <c r="J23" s="30" t="s">
        <v>49</v>
      </c>
      <c r="K23" s="30" t="s">
        <v>46</v>
      </c>
      <c r="L23" s="30" t="s">
        <v>46</v>
      </c>
      <c r="M23" s="30" t="s">
        <v>47</v>
      </c>
      <c r="N23" s="30" t="s">
        <v>46</v>
      </c>
      <c r="O23" s="30" t="s">
        <v>48</v>
      </c>
      <c r="P23" s="36" t="str">
        <f>IF(score_n_equations!P23="NULL","NULL",IF(score_n_equations!P23&gt;=4.5,"A",IF(score_n_equations!P23&gt;=3.5,"B",IF(score_n_equations!P23&gt;=2.5,"C",IF(score_n_equations!P23&gt;0,"D")))))</f>
        <v>C</v>
      </c>
      <c r="Q23" s="30" t="s">
        <v>48</v>
      </c>
      <c r="R23" s="30" t="s">
        <v>48</v>
      </c>
      <c r="S23" s="30" t="s">
        <v>46</v>
      </c>
      <c r="T23" s="36" t="str">
        <f>IF(score_n_equations!T23="NULL","NULL",IF(score_n_equations!T23&gt;=4.5,"A",IF(score_n_equations!T23&gt;=3.5,"B",IF(score_n_equations!T23&gt;=2.5,"C",IF(score_n_equations!T23&gt;0,"D")))))</f>
        <v>B</v>
      </c>
      <c r="U23" s="30" t="s">
        <v>47</v>
      </c>
      <c r="V23" s="30" t="s">
        <v>48</v>
      </c>
      <c r="W23" s="30" t="s">
        <v>48</v>
      </c>
      <c r="X23" s="36" t="str">
        <f>IF(score_n_equations!X23="NULL","NULL",IF(score_n_equations!X23&gt;=4.5,"A",IF(score_n_equations!X23&gt;=3.5,"B",IF(score_n_equations!X23&gt;=2.5,"C",IF(score_n_equations!X23&gt;0,"D")))))</f>
        <v>A</v>
      </c>
      <c r="Y23" s="30" t="s">
        <v>46</v>
      </c>
      <c r="Z23" s="30" t="s">
        <v>66</v>
      </c>
      <c r="AA23" s="36" t="str">
        <f>IF(score_n_equations!AA23="NULL","NULL",IF(score_n_equations!AA23&gt;=4.5,"A",IF(score_n_equations!AA23&gt;=3.5,"B",IF(score_n_equations!AA23&gt;=2.5,"C",IF(score_n_equations!AA23&gt;0,"D")))))</f>
        <v>D</v>
      </c>
      <c r="AB23" s="49" t="str">
        <f>IF(score_n_equations!AB23="NULL","NULL",IF(score_n_equations!AB23&gt;=4.5,"A",IF(score_n_equations!AB23&gt;=3.5,"B",IF(score_n_equations!AB23&gt;=2.5,"C",IF(score_n_equations!AB23&gt;0,"D")))))</f>
        <v>C</v>
      </c>
      <c r="AC23" s="49" t="str">
        <f>IF(score_n_equations!AC23="NULL","NULL",IF(score_n_equations!AC23&gt;=4.5,"A",IF(score_n_equations!AC23&gt;=3.5,"B",IF(score_n_equations!AC23&gt;=2.5,"C",IF(score_n_equations!AC23&gt;0,"D")))))</f>
        <v>B</v>
      </c>
      <c r="AD23" s="53" t="str">
        <f>IF(score_n_equations!AD23="NULL","NULL",IF(score_n_equations!AD23&gt;=4.5,"A",IF(score_n_equations!AD23&gt;=3.5,"B",IF(score_n_equations!AD23&gt;=2.5,"C",IF(score_n_equations!AD23&gt;0,"D")))))</f>
        <v>B</v>
      </c>
      <c r="AE23" s="53" t="str">
        <f>IF(score_n_equations!AE23="NULL","NULL",IF(score_n_equations!AE23&gt;=4.5,"A",IF(score_n_equations!AE23&gt;=3.5,"B",IF(score_n_equations!AE23&gt;=2.5,"C",IF(score_n_equations!AE23&gt;0,"D")))))</f>
        <v>C</v>
      </c>
    </row>
    <row r="24" spans="1:31" x14ac:dyDescent="0.25">
      <c r="A24" s="33">
        <v>1869</v>
      </c>
      <c r="B24" s="30" t="s">
        <v>46</v>
      </c>
      <c r="C24" s="30" t="s">
        <v>46</v>
      </c>
      <c r="D24" s="36" t="str">
        <f>IF(score_n_equations!D24="NULL","NULL",IF(score_n_equations!D24&gt;=4.5,"A",IF(score_n_equations!D24&gt;=3.5,"B",IF(score_n_equations!D24&gt;=2.5,"C",IF(score_n_equations!D24&gt;0,"D")))))</f>
        <v>C</v>
      </c>
      <c r="E24" s="30" t="s">
        <v>48</v>
      </c>
      <c r="F24" s="30" t="s">
        <v>47</v>
      </c>
      <c r="G24" s="30" t="s">
        <v>46</v>
      </c>
      <c r="H24" s="30" t="s">
        <v>46</v>
      </c>
      <c r="I24" s="36" t="str">
        <f>IF(score_n_equations!I24="NULL","NULL",IF(score_n_equations!I24&gt;=4.5,"A",IF(score_n_equations!I24&gt;=3.5,"B",IF(score_n_equations!I24&gt;=2.5,"C",IF(score_n_equations!I24&gt;0,"D")))))</f>
        <v>B</v>
      </c>
      <c r="J24" s="30" t="s">
        <v>46</v>
      </c>
      <c r="K24" s="30" t="s">
        <v>47</v>
      </c>
      <c r="L24" s="59" t="s">
        <v>47</v>
      </c>
      <c r="M24" s="30" t="s">
        <v>48</v>
      </c>
      <c r="N24" s="30" t="s">
        <v>65</v>
      </c>
      <c r="O24" s="30" t="s">
        <v>65</v>
      </c>
      <c r="P24" s="36" t="str">
        <f>IF(score_n_equations!P24="NULL","NULL",IF(score_n_equations!P24&gt;=4.5,"A",IF(score_n_equations!P24&gt;=3.5,"B",IF(score_n_equations!P24&gt;=2.5,"C",IF(score_n_equations!P24&gt;0,"D")))))</f>
        <v>B</v>
      </c>
      <c r="Q24" s="30" t="s">
        <v>48</v>
      </c>
      <c r="R24" s="30" t="s">
        <v>48</v>
      </c>
      <c r="S24" s="59" t="s">
        <v>47</v>
      </c>
      <c r="T24" s="36" t="str">
        <f>IF(score_n_equations!T24="NULL","NULL",IF(score_n_equations!T24&gt;=4.5,"A",IF(score_n_equations!T24&gt;=3.5,"B",IF(score_n_equations!T24&gt;=2.5,"C",IF(score_n_equations!T24&gt;0,"D")))))</f>
        <v>A</v>
      </c>
      <c r="U24" s="30" t="s">
        <v>47</v>
      </c>
      <c r="V24" s="30" t="s">
        <v>47</v>
      </c>
      <c r="W24" s="30" t="s">
        <v>46</v>
      </c>
      <c r="X24" s="36" t="str">
        <f>IF(score_n_equations!X24="NULL","NULL",IF(score_n_equations!X24&gt;=4.5,"A",IF(score_n_equations!X24&gt;=3.5,"B",IF(score_n_equations!X24&gt;=2.5,"C",IF(score_n_equations!X24&gt;0,"D")))))</f>
        <v>B</v>
      </c>
      <c r="Y24" s="30" t="s">
        <v>46</v>
      </c>
      <c r="Z24" s="30" t="s">
        <v>47</v>
      </c>
      <c r="AA24" s="36" t="str">
        <f>IF(score_n_equations!AA24="NULL","NULL",IF(score_n_equations!AA24&gt;=4.5,"A",IF(score_n_equations!AA24&gt;=3.5,"B",IF(score_n_equations!AA24&gt;=2.5,"C",IF(score_n_equations!AA24&gt;0,"D")))))</f>
        <v>B</v>
      </c>
      <c r="AB24" s="49" t="str">
        <f>IF(score_n_equations!AB24="NULL","NULL",IF(score_n_equations!AB24&gt;=4.5,"A",IF(score_n_equations!AB24&gt;=3.5,"B",IF(score_n_equations!AB24&gt;=2.5,"C",IF(score_n_equations!AB24&gt;0,"D")))))</f>
        <v>C</v>
      </c>
      <c r="AC24" s="49" t="str">
        <f>IF(score_n_equations!AC24="NULL","NULL",IF(score_n_equations!AC24&gt;=4.5,"A",IF(score_n_equations!AC24&gt;=3.5,"B",IF(score_n_equations!AC24&gt;=2.5,"C",IF(score_n_equations!AC24&gt;0,"D")))))</f>
        <v>B</v>
      </c>
      <c r="AD24" s="53" t="str">
        <f>IF(score_n_equations!AD24="NULL","NULL",IF(score_n_equations!AD24&gt;=4.5,"A",IF(score_n_equations!AD24&gt;=3.5,"B",IF(score_n_equations!AD24&gt;=2.5,"C",IF(score_n_equations!AD24&gt;0,"D")))))</f>
        <v>B</v>
      </c>
      <c r="AE24" s="53" t="str">
        <f>IF(score_n_equations!AE24="NULL","NULL",IF(score_n_equations!AE24&gt;=4.5,"A",IF(score_n_equations!AE24&gt;=3.5,"B",IF(score_n_equations!AE24&gt;=2.5,"C",IF(score_n_equations!AE24&gt;0,"D")))))</f>
        <v>B</v>
      </c>
    </row>
    <row r="25" spans="1:31" x14ac:dyDescent="0.25">
      <c r="A25" s="33">
        <v>1870</v>
      </c>
      <c r="B25" s="30" t="s">
        <v>46</v>
      </c>
      <c r="C25" s="30" t="s">
        <v>46</v>
      </c>
      <c r="D25" s="36" t="str">
        <f>IF(score_n_equations!D25="NULL","NULL",IF(score_n_equations!D25&gt;=4.5,"A",IF(score_n_equations!D25&gt;=3.5,"B",IF(score_n_equations!D25&gt;=2.5,"C",IF(score_n_equations!D25&gt;0,"D")))))</f>
        <v>C</v>
      </c>
      <c r="E25" s="30" t="s">
        <v>48</v>
      </c>
      <c r="F25" s="30" t="s">
        <v>48</v>
      </c>
      <c r="G25" s="30" t="s">
        <v>47</v>
      </c>
      <c r="H25" s="30" t="s">
        <v>46</v>
      </c>
      <c r="I25" s="36" t="str">
        <f>IF(score_n_equations!I25="NULL","NULL",IF(score_n_equations!I25&gt;=4.5,"A",IF(score_n_equations!I25&gt;=3.5,"B",IF(score_n_equations!I25&gt;=2.5,"C",IF(score_n_equations!I25&gt;0,"D")))))</f>
        <v>B</v>
      </c>
      <c r="J25" s="30" t="s">
        <v>49</v>
      </c>
      <c r="K25" s="61" t="s">
        <v>49</v>
      </c>
      <c r="L25" s="30" t="s">
        <v>47</v>
      </c>
      <c r="M25" s="30" t="s">
        <v>48</v>
      </c>
      <c r="N25" s="30" t="s">
        <v>65</v>
      </c>
      <c r="O25" s="30" t="s">
        <v>65</v>
      </c>
      <c r="P25" s="36" t="str">
        <f>IF(score_n_equations!P25="NULL","NULL",IF(score_n_equations!P25&gt;=4.5,"A",IF(score_n_equations!P25&gt;=3.5,"B",IF(score_n_equations!P25&gt;=2.5,"C",IF(score_n_equations!P25&gt;0,"D")))))</f>
        <v>C</v>
      </c>
      <c r="Q25" s="30" t="s">
        <v>66</v>
      </c>
      <c r="R25" s="30" t="s">
        <v>66</v>
      </c>
      <c r="S25" s="30" t="s">
        <v>48</v>
      </c>
      <c r="T25" s="36" t="str">
        <f>IF(score_n_equations!T25="NULL","NULL",IF(score_n_equations!T25&gt;=4.5,"A",IF(score_n_equations!T25&gt;=3.5,"B",IF(score_n_equations!T25&gt;=2.5,"C",IF(score_n_equations!T25&gt;0,"D")))))</f>
        <v>D</v>
      </c>
      <c r="U25" s="30" t="s">
        <v>47</v>
      </c>
      <c r="V25" s="30" t="s">
        <v>65</v>
      </c>
      <c r="W25" s="30" t="s">
        <v>65</v>
      </c>
      <c r="X25" s="36" t="str">
        <f>IF(score_n_equations!X25="NULL","NULL",IF(score_n_equations!X25&gt;=4.5,"A",IF(score_n_equations!X25&gt;=3.5,"B",IF(score_n_equations!X25&gt;=2.5,"C",IF(score_n_equations!X25&gt;0,"D")))))</f>
        <v>B</v>
      </c>
      <c r="Y25" s="30" t="s">
        <v>46</v>
      </c>
      <c r="Z25" s="30" t="s">
        <v>48</v>
      </c>
      <c r="AA25" s="36" t="str">
        <f>IF(score_n_equations!AA25="NULL","NULL",IF(score_n_equations!AA25&gt;=4.5,"A",IF(score_n_equations!AA25&gt;=3.5,"B",IF(score_n_equations!AA25&gt;=2.5,"C",IF(score_n_equations!AA25&gt;0,"D")))))</f>
        <v>B</v>
      </c>
      <c r="AB25" s="49" t="str">
        <f>IF(score_n_equations!AB25="NULL","NULL",IF(score_n_equations!AB25&gt;=4.5,"A",IF(score_n_equations!AB25&gt;=3.5,"B",IF(score_n_equations!AB25&gt;=2.5,"C",IF(score_n_equations!AB25&gt;0,"D")))))</f>
        <v>B</v>
      </c>
      <c r="AC25" s="49" t="str">
        <f>IF(score_n_equations!AC25="NULL","NULL",IF(score_n_equations!AC25&gt;=4.5,"A",IF(score_n_equations!AC25&gt;=3.5,"B",IF(score_n_equations!AC25&gt;=2.5,"C",IF(score_n_equations!AC25&gt;0,"D")))))</f>
        <v>C</v>
      </c>
      <c r="AD25" s="53" t="str">
        <f>IF(score_n_equations!AD25="NULL","NULL",IF(score_n_equations!AD25&gt;=4.5,"A",IF(score_n_equations!AD25&gt;=3.5,"B",IF(score_n_equations!AD25&gt;=2.5,"C",IF(score_n_equations!AD25&gt;0,"D")))))</f>
        <v>C</v>
      </c>
      <c r="AE25" s="53" t="str">
        <f>IF(score_n_equations!AE25="NULL","NULL",IF(score_n_equations!AE25&gt;=4.5,"A",IF(score_n_equations!AE25&gt;=3.5,"B",IF(score_n_equations!AE25&gt;=2.5,"C",IF(score_n_equations!AE25&gt;0,"D")))))</f>
        <v>B</v>
      </c>
    </row>
    <row r="26" spans="1:31" x14ac:dyDescent="0.25">
      <c r="A26" s="33">
        <v>1871</v>
      </c>
      <c r="B26" s="30" t="s">
        <v>66</v>
      </c>
      <c r="C26" s="30" t="s">
        <v>66</v>
      </c>
      <c r="D26" s="36" t="str">
        <f>IF(score_n_equations!D26="NULL","NULL",IF(score_n_equations!D26&gt;=4.5,"A",IF(score_n_equations!D26&gt;=3.5,"B",IF(score_n_equations!D26&gt;=2.5,"C",IF(score_n_equations!D26&gt;0,"D")))))</f>
        <v>D</v>
      </c>
      <c r="E26" s="30" t="s">
        <v>46</v>
      </c>
      <c r="F26" s="30" t="s">
        <v>46</v>
      </c>
      <c r="G26" s="30" t="s">
        <v>46</v>
      </c>
      <c r="H26" s="59" t="s">
        <v>46</v>
      </c>
      <c r="I26" s="36" t="str">
        <f>IF(score_n_equations!I26="NULL","NULL",IF(score_n_equations!I26&gt;=4.5,"A",IF(score_n_equations!I26&gt;=3.5,"B",IF(score_n_equations!I26&gt;=2.5,"C",IF(score_n_equations!I26&gt;0,"D")))))</f>
        <v>C</v>
      </c>
      <c r="J26" s="30" t="s">
        <v>66</v>
      </c>
      <c r="K26" s="30" t="s">
        <v>46</v>
      </c>
      <c r="L26" s="30" t="s">
        <v>66</v>
      </c>
      <c r="M26" s="30" t="s">
        <v>46</v>
      </c>
      <c r="N26" s="30" t="s">
        <v>65</v>
      </c>
      <c r="O26" s="30" t="s">
        <v>65</v>
      </c>
      <c r="P26" s="36" t="str">
        <f>IF(score_n_equations!P26="NULL","NULL",IF(score_n_equations!P26&gt;=4.5,"A",IF(score_n_equations!P26&gt;=3.5,"B",IF(score_n_equations!P26&gt;=2.5,"C",IF(score_n_equations!P26&gt;0,"D")))))</f>
        <v>D</v>
      </c>
      <c r="Q26" s="30" t="s">
        <v>47</v>
      </c>
      <c r="R26" s="30" t="s">
        <v>66</v>
      </c>
      <c r="S26" s="30" t="s">
        <v>47</v>
      </c>
      <c r="T26" s="36" t="str">
        <f>IF(score_n_equations!T26="NULL","NULL",IF(score_n_equations!T26&gt;=4.5,"A",IF(score_n_equations!T26&gt;=3.5,"B",IF(score_n_equations!T26&gt;=2.5,"C",IF(score_n_equations!T26&gt;0,"D")))))</f>
        <v>C</v>
      </c>
      <c r="U26" s="30" t="s">
        <v>48</v>
      </c>
      <c r="V26" s="30" t="s">
        <v>46</v>
      </c>
      <c r="W26" s="30" t="s">
        <v>47</v>
      </c>
      <c r="X26" s="36" t="str">
        <f>IF(score_n_equations!X26="NULL","NULL",IF(score_n_equations!X26&gt;=4.5,"A",IF(score_n_equations!X26&gt;=3.5,"B",IF(score_n_equations!X26&gt;=2.5,"C",IF(score_n_equations!X26&gt;0,"D")))))</f>
        <v>B</v>
      </c>
      <c r="Y26" s="30" t="s">
        <v>48</v>
      </c>
      <c r="Z26" s="30" t="s">
        <v>48</v>
      </c>
      <c r="AA26" s="36" t="str">
        <f>IF(score_n_equations!AA26="NULL","NULL",IF(score_n_equations!AA26&gt;=4.5,"A",IF(score_n_equations!AA26&gt;=3.5,"B",IF(score_n_equations!AA26&gt;=2.5,"C",IF(score_n_equations!AA26&gt;0,"D")))))</f>
        <v>A</v>
      </c>
      <c r="AB26" s="49" t="str">
        <f>IF(score_n_equations!AB26="NULL","NULL",IF(score_n_equations!AB26&gt;=4.5,"A",IF(score_n_equations!AB26&gt;=3.5,"B",IF(score_n_equations!AB26&gt;=2.5,"C",IF(score_n_equations!AB26&gt;0,"D")))))</f>
        <v>D</v>
      </c>
      <c r="AC26" s="49" t="str">
        <f>IF(score_n_equations!AC26="NULL","NULL",IF(score_n_equations!AC26&gt;=4.5,"A",IF(score_n_equations!AC26&gt;=3.5,"B",IF(score_n_equations!AC26&gt;=2.5,"C",IF(score_n_equations!AC26&gt;0,"D")))))</f>
        <v>C</v>
      </c>
      <c r="AD26" s="53" t="str">
        <f>IF(score_n_equations!AD26="NULL","NULL",IF(score_n_equations!AD26&gt;=4.5,"A",IF(score_n_equations!AD26&gt;=3.5,"B",IF(score_n_equations!AD26&gt;=2.5,"C",IF(score_n_equations!AD26&gt;0,"D")))))</f>
        <v>D</v>
      </c>
      <c r="AE26" s="53" t="str">
        <f>IF(score_n_equations!AE26="NULL","NULL",IF(score_n_equations!AE26&gt;=4.5,"A",IF(score_n_equations!AE26&gt;=3.5,"B",IF(score_n_equations!AE26&gt;=2.5,"C",IF(score_n_equations!AE26&gt;0,"D")))))</f>
        <v>C</v>
      </c>
    </row>
    <row r="27" spans="1:31" x14ac:dyDescent="0.25">
      <c r="A27" s="33">
        <v>1872</v>
      </c>
      <c r="B27" s="59" t="s">
        <v>46</v>
      </c>
      <c r="C27" s="30" t="s">
        <v>47</v>
      </c>
      <c r="D27" s="36" t="str">
        <f>IF(score_n_equations!D27="NULL","NULL",IF(score_n_equations!D27&gt;=4.5,"A",IF(score_n_equations!D27&gt;=3.5,"B",IF(score_n_equations!D27&gt;=2.5,"C",IF(score_n_equations!D27&gt;0,"D")))))</f>
        <v>B</v>
      </c>
      <c r="E27" s="30" t="s">
        <v>48</v>
      </c>
      <c r="F27" s="30" t="s">
        <v>47</v>
      </c>
      <c r="G27" s="30" t="s">
        <v>46</v>
      </c>
      <c r="H27" s="30" t="s">
        <v>46</v>
      </c>
      <c r="I27" s="36" t="str">
        <f>IF(score_n_equations!I27="NULL","NULL",IF(score_n_equations!I27&gt;=4.5,"A",IF(score_n_equations!I27&gt;=3.5,"B",IF(score_n_equations!I27&gt;=2.5,"C",IF(score_n_equations!I27&gt;0,"D")))))</f>
        <v>B</v>
      </c>
      <c r="J27" s="30" t="s">
        <v>66</v>
      </c>
      <c r="K27" s="30" t="s">
        <v>47</v>
      </c>
      <c r="L27" s="30" t="s">
        <v>46</v>
      </c>
      <c r="M27" s="30" t="s">
        <v>46</v>
      </c>
      <c r="N27" s="30" t="s">
        <v>47</v>
      </c>
      <c r="O27" s="30" t="s">
        <v>46</v>
      </c>
      <c r="P27" s="36" t="str">
        <f>IF(score_n_equations!P27="NULL","NULL",IF(score_n_equations!P27&gt;=4.5,"A",IF(score_n_equations!P27&gt;=3.5,"B",IF(score_n_equations!P27&gt;=2.5,"C",IF(score_n_equations!P27&gt;0,"D")))))</f>
        <v>C</v>
      </c>
      <c r="Q27" s="30" t="s">
        <v>47</v>
      </c>
      <c r="R27" s="30" t="s">
        <v>46</v>
      </c>
      <c r="S27" s="30" t="s">
        <v>47</v>
      </c>
      <c r="T27" s="36" t="str">
        <f>IF(score_n_equations!T27="NULL","NULL",IF(score_n_equations!T27&gt;=4.5,"A",IF(score_n_equations!T27&gt;=3.5,"B",IF(score_n_equations!T27&gt;=2.5,"C",IF(score_n_equations!T27&gt;0,"D")))))</f>
        <v>B</v>
      </c>
      <c r="U27" s="30" t="s">
        <v>47</v>
      </c>
      <c r="V27" s="30" t="s">
        <v>65</v>
      </c>
      <c r="W27" s="30" t="s">
        <v>65</v>
      </c>
      <c r="X27" s="36" t="str">
        <f>IF(score_n_equations!X27="NULL","NULL",IF(score_n_equations!X27&gt;=4.5,"A",IF(score_n_equations!X27&gt;=3.5,"B",IF(score_n_equations!X27&gt;=2.5,"C",IF(score_n_equations!X27&gt;0,"D")))))</f>
        <v>B</v>
      </c>
      <c r="Y27" s="30" t="s">
        <v>46</v>
      </c>
      <c r="Z27" s="30" t="s">
        <v>66</v>
      </c>
      <c r="AA27" s="36" t="str">
        <f>IF(score_n_equations!AA27="NULL","NULL",IF(score_n_equations!AA27&gt;=4.5,"A",IF(score_n_equations!AA27&gt;=3.5,"B",IF(score_n_equations!AA27&gt;=2.5,"C",IF(score_n_equations!AA27&gt;0,"D")))))</f>
        <v>D</v>
      </c>
      <c r="AB27" s="49" t="str">
        <f>IF(score_n_equations!AB27="NULL","NULL",IF(score_n_equations!AB27&gt;=4.5,"A",IF(score_n_equations!AB27&gt;=3.5,"B",IF(score_n_equations!AB27&gt;=2.5,"C",IF(score_n_equations!AB27&gt;0,"D")))))</f>
        <v>B</v>
      </c>
      <c r="AC27" s="49" t="str">
        <f>IF(score_n_equations!AC27="NULL","NULL",IF(score_n_equations!AC27&gt;=4.5,"A",IF(score_n_equations!AC27&gt;=3.5,"B",IF(score_n_equations!AC27&gt;=2.5,"C",IF(score_n_equations!AC27&gt;0,"D")))))</f>
        <v>C</v>
      </c>
      <c r="AD27" s="53" t="str">
        <f>IF(score_n_equations!AD27="NULL","NULL",IF(score_n_equations!AD27&gt;=4.5,"A",IF(score_n_equations!AD27&gt;=3.5,"B",IF(score_n_equations!AD27&gt;=2.5,"C",IF(score_n_equations!AD27&gt;0,"D")))))</f>
        <v>C</v>
      </c>
      <c r="AE27" s="53" t="str">
        <f>IF(score_n_equations!AE27="NULL","NULL",IF(score_n_equations!AE27&gt;=4.5,"A",IF(score_n_equations!AE27&gt;=3.5,"B",IF(score_n_equations!AE27&gt;=2.5,"C",IF(score_n_equations!AE27&gt;0,"D")))))</f>
        <v>C</v>
      </c>
    </row>
    <row r="28" spans="1:31" x14ac:dyDescent="0.25">
      <c r="A28" s="33">
        <v>1874</v>
      </c>
      <c r="B28" s="30" t="s">
        <v>46</v>
      </c>
      <c r="C28" s="30" t="s">
        <v>47</v>
      </c>
      <c r="D28" s="36" t="str">
        <f>IF(score_n_equations!D28="NULL","NULL",IF(score_n_equations!D28&gt;=4.5,"A",IF(score_n_equations!D28&gt;=3.5,"B",IF(score_n_equations!D28&gt;=2.5,"C",IF(score_n_equations!D28&gt;0,"D")))))</f>
        <v>B</v>
      </c>
      <c r="E28" s="30" t="s">
        <v>48</v>
      </c>
      <c r="F28" s="30" t="s">
        <v>47</v>
      </c>
      <c r="G28" s="30" t="s">
        <v>46</v>
      </c>
      <c r="H28" s="59" t="s">
        <v>46</v>
      </c>
      <c r="I28" s="36" t="str">
        <f>IF(score_n_equations!I28="NULL","NULL",IF(score_n_equations!I28&gt;=4.5,"A",IF(score_n_equations!I28&gt;=3.5,"B",IF(score_n_equations!I28&gt;=2.5,"C",IF(score_n_equations!I28&gt;0,"D")))))</f>
        <v>B</v>
      </c>
      <c r="J28" s="30" t="s">
        <v>49</v>
      </c>
      <c r="K28" s="30" t="s">
        <v>49</v>
      </c>
      <c r="L28" s="30" t="s">
        <v>46</v>
      </c>
      <c r="M28" s="30" t="s">
        <v>47</v>
      </c>
      <c r="N28" s="30" t="s">
        <v>65</v>
      </c>
      <c r="O28" s="30" t="s">
        <v>65</v>
      </c>
      <c r="P28" s="36" t="str">
        <f>IF(score_n_equations!P28="NULL","NULL",IF(score_n_equations!P28&gt;=4.5,"A",IF(score_n_equations!P28&gt;=3.5,"B",IF(score_n_equations!P28&gt;=2.5,"C",IF(score_n_equations!P28&gt;0,"D")))))</f>
        <v>C</v>
      </c>
      <c r="Q28" s="30" t="s">
        <v>48</v>
      </c>
      <c r="R28" s="30" t="s">
        <v>48</v>
      </c>
      <c r="S28" s="30" t="s">
        <v>47</v>
      </c>
      <c r="T28" s="36" t="str">
        <f>IF(score_n_equations!T28="NULL","NULL",IF(score_n_equations!T28&gt;=4.5,"A",IF(score_n_equations!T28&gt;=3.5,"B",IF(score_n_equations!T28&gt;=2.5,"C",IF(score_n_equations!T28&gt;0,"D")))))</f>
        <v>A</v>
      </c>
      <c r="U28" s="59" t="s">
        <v>46</v>
      </c>
      <c r="V28" s="30" t="s">
        <v>48</v>
      </c>
      <c r="W28" s="30" t="s">
        <v>47</v>
      </c>
      <c r="X28" s="36" t="str">
        <f>IF(score_n_equations!X28="NULL","NULL",IF(score_n_equations!X28&gt;=4.5,"A",IF(score_n_equations!X28&gt;=3.5,"B",IF(score_n_equations!X28&gt;=2.5,"C",IF(score_n_equations!X28&gt;0,"D")))))</f>
        <v>B</v>
      </c>
      <c r="Y28" s="30" t="s">
        <v>47</v>
      </c>
      <c r="Z28" s="30" t="s">
        <v>48</v>
      </c>
      <c r="AA28" s="36" t="str">
        <f>IF(score_n_equations!AA28="NULL","NULL",IF(score_n_equations!AA28&gt;=4.5,"A",IF(score_n_equations!AA28&gt;=3.5,"B",IF(score_n_equations!AA28&gt;=2.5,"C",IF(score_n_equations!AA28&gt;0,"D")))))</f>
        <v>A</v>
      </c>
      <c r="AB28" s="49" t="str">
        <f>IF(score_n_equations!AB28="NULL","NULL",IF(score_n_equations!AB28&gt;=4.5,"A",IF(score_n_equations!AB28&gt;=3.5,"B",IF(score_n_equations!AB28&gt;=2.5,"C",IF(score_n_equations!AB28&gt;0,"D")))))</f>
        <v>B</v>
      </c>
      <c r="AC28" s="49" t="str">
        <f>IF(score_n_equations!AC28="NULL","NULL",IF(score_n_equations!AC28&gt;=4.5,"A",IF(score_n_equations!AC28&gt;=3.5,"B",IF(score_n_equations!AC28&gt;=2.5,"C",IF(score_n_equations!AC28&gt;0,"D")))))</f>
        <v>B</v>
      </c>
      <c r="AD28" s="53" t="str">
        <f>IF(score_n_equations!AD28="NULL","NULL",IF(score_n_equations!AD28&gt;=4.5,"A",IF(score_n_equations!AD28&gt;=3.5,"B",IF(score_n_equations!AD28&gt;=2.5,"C",IF(score_n_equations!AD28&gt;0,"D")))))</f>
        <v>B</v>
      </c>
      <c r="AE28" s="53" t="str">
        <f>IF(score_n_equations!AE28="NULL","NULL",IF(score_n_equations!AE28&gt;=4.5,"A",IF(score_n_equations!AE28&gt;=3.5,"B",IF(score_n_equations!AE28&gt;=2.5,"C",IF(score_n_equations!AE28&gt;0,"D")))))</f>
        <v>B</v>
      </c>
    </row>
    <row r="29" spans="1:31" x14ac:dyDescent="0.25">
      <c r="A29" s="33">
        <v>1875</v>
      </c>
      <c r="B29" s="38" t="s">
        <v>46</v>
      </c>
      <c r="C29" s="30" t="s">
        <v>47</v>
      </c>
      <c r="D29" s="36" t="str">
        <f>IF(score_n_equations!D29="NULL","NULL",IF(score_n_equations!D29&gt;=4.5,"A",IF(score_n_equations!D29&gt;=3.5,"B",IF(score_n_equations!D29&gt;=2.5,"C",IF(score_n_equations!D29&gt;0,"D")))))</f>
        <v>B</v>
      </c>
      <c r="E29" s="30" t="s">
        <v>48</v>
      </c>
      <c r="F29" s="30" t="s">
        <v>48</v>
      </c>
      <c r="G29" s="30" t="s">
        <v>46</v>
      </c>
      <c r="H29" s="30" t="s">
        <v>47</v>
      </c>
      <c r="I29" s="36" t="str">
        <f>IF(score_n_equations!I29="NULL","NULL",IF(score_n_equations!I29&gt;=4.5,"A",IF(score_n_equations!I29&gt;=3.5,"B",IF(score_n_equations!I29&gt;=2.5,"C",IF(score_n_equations!I29&gt;0,"D")))))</f>
        <v>B</v>
      </c>
      <c r="J29" s="30" t="s">
        <v>49</v>
      </c>
      <c r="K29" s="61" t="s">
        <v>46</v>
      </c>
      <c r="L29" s="30" t="s">
        <v>46</v>
      </c>
      <c r="M29" s="30" t="s">
        <v>48</v>
      </c>
      <c r="N29" s="30" t="s">
        <v>48</v>
      </c>
      <c r="O29" s="30" t="s">
        <v>48</v>
      </c>
      <c r="P29" s="36" t="str">
        <f>IF(score_n_equations!P29="NULL","NULL",IF(score_n_equations!P29&gt;=4.5,"A",IF(score_n_equations!P29&gt;=3.5,"B",IF(score_n_equations!P29&gt;=2.5,"C",IF(score_n_equations!P29&gt;0,"D")))))</f>
        <v>B</v>
      </c>
      <c r="Q29" s="30" t="s">
        <v>48</v>
      </c>
      <c r="R29" s="30" t="s">
        <v>48</v>
      </c>
      <c r="S29" s="30" t="s">
        <v>46</v>
      </c>
      <c r="T29" s="36" t="str">
        <f>IF(score_n_equations!T29="NULL","NULL",IF(score_n_equations!T29&gt;=4.5,"A",IF(score_n_equations!T29&gt;=3.5,"B",IF(score_n_equations!T29&gt;=2.5,"C",IF(score_n_equations!T29&gt;0,"D")))))</f>
        <v>B</v>
      </c>
      <c r="U29" s="30" t="s">
        <v>48</v>
      </c>
      <c r="V29" s="59" t="s">
        <v>48</v>
      </c>
      <c r="W29" s="59" t="s">
        <v>47</v>
      </c>
      <c r="X29" s="36" t="str">
        <f>IF(score_n_equations!X29="NULL","NULL",IF(score_n_equations!X29&gt;=4.5,"A",IF(score_n_equations!X29&gt;=3.5,"B",IF(score_n_equations!X29&gt;=2.5,"C",IF(score_n_equations!X29&gt;0,"D")))))</f>
        <v>A</v>
      </c>
      <c r="Y29" s="30" t="s">
        <v>47</v>
      </c>
      <c r="Z29" s="30" t="s">
        <v>66</v>
      </c>
      <c r="AA29" s="36" t="str">
        <f>IF(score_n_equations!AA29="NULL","NULL",IF(score_n_equations!AA29&gt;=4.5,"A",IF(score_n_equations!AA29&gt;=3.5,"B",IF(score_n_equations!AA29&gt;=2.5,"C",IF(score_n_equations!AA29&gt;0,"D")))))</f>
        <v>C</v>
      </c>
      <c r="AB29" s="49" t="str">
        <f>IF(score_n_equations!AB29="NULL","NULL",IF(score_n_equations!AB29&gt;=4.5,"A",IF(score_n_equations!AB29&gt;=3.5,"B",IF(score_n_equations!AB29&gt;=2.5,"C",IF(score_n_equations!AB29&gt;0,"D")))))</f>
        <v>B</v>
      </c>
      <c r="AC29" s="49" t="str">
        <f>IF(score_n_equations!AC29="NULL","NULL",IF(score_n_equations!AC29&gt;=4.5,"A",IF(score_n_equations!AC29&gt;=3.5,"B",IF(score_n_equations!AC29&gt;=2.5,"C",IF(score_n_equations!AC29&gt;0,"D")))))</f>
        <v>B</v>
      </c>
      <c r="AD29" s="53" t="str">
        <f>IF(score_n_equations!AD29="NULL","NULL",IF(score_n_equations!AD29&gt;=4.5,"A",IF(score_n_equations!AD29&gt;=3.5,"B",IF(score_n_equations!AD29&gt;=2.5,"C",IF(score_n_equations!AD29&gt;0,"D")))))</f>
        <v>B</v>
      </c>
      <c r="AE29" s="53" t="str">
        <f>IF(score_n_equations!AE29="NULL","NULL",IF(score_n_equations!AE29&gt;=4.5,"A",IF(score_n_equations!AE29&gt;=3.5,"B",IF(score_n_equations!AE29&gt;=2.5,"C",IF(score_n_equations!AE29&gt;0,"D")))))</f>
        <v>B</v>
      </c>
    </row>
    <row r="30" spans="1:31" x14ac:dyDescent="0.25">
      <c r="A30" s="33">
        <v>1897</v>
      </c>
      <c r="B30" s="30" t="s">
        <v>47</v>
      </c>
      <c r="C30" s="30" t="s">
        <v>47</v>
      </c>
      <c r="D30" s="36" t="str">
        <f>IF(score_n_equations!D30="NULL","NULL",IF(score_n_equations!D30&gt;=4.5,"A",IF(score_n_equations!D30&gt;=3.5,"B",IF(score_n_equations!D30&gt;=2.5,"C",IF(score_n_equations!D30&gt;0,"D")))))</f>
        <v>B</v>
      </c>
      <c r="E30" s="30" t="s">
        <v>48</v>
      </c>
      <c r="F30" s="30" t="s">
        <v>47</v>
      </c>
      <c r="G30" s="30" t="s">
        <v>47</v>
      </c>
      <c r="H30" s="30" t="s">
        <v>47</v>
      </c>
      <c r="I30" s="36" t="str">
        <f>IF(score_n_equations!I30="NULL","NULL",IF(score_n_equations!I30&gt;=4.5,"A",IF(score_n_equations!I30&gt;=3.5,"B",IF(score_n_equations!I30&gt;=2.5,"C",IF(score_n_equations!I30&gt;0,"D")))))</f>
        <v>B</v>
      </c>
      <c r="J30" s="30" t="s">
        <v>49</v>
      </c>
      <c r="K30" s="30" t="s">
        <v>46</v>
      </c>
      <c r="L30" s="30" t="s">
        <v>46</v>
      </c>
      <c r="M30" s="30" t="s">
        <v>47</v>
      </c>
      <c r="N30" s="30" t="s">
        <v>47</v>
      </c>
      <c r="O30" s="30" t="s">
        <v>48</v>
      </c>
      <c r="P30" s="36" t="str">
        <f>IF(score_n_equations!P30="NULL","NULL",IF(score_n_equations!P30&gt;=4.5,"A",IF(score_n_equations!P30&gt;=3.5,"B",IF(score_n_equations!P30&gt;=2.5,"C",IF(score_n_equations!P30&gt;0,"D")))))</f>
        <v>B</v>
      </c>
      <c r="Q30" s="30" t="s">
        <v>48</v>
      </c>
      <c r="R30" s="30" t="s">
        <v>48</v>
      </c>
      <c r="S30" s="30" t="s">
        <v>47</v>
      </c>
      <c r="T30" s="36" t="str">
        <f>IF(score_n_equations!T30="NULL","NULL",IF(score_n_equations!T30&gt;=4.5,"A",IF(score_n_equations!T30&gt;=3.5,"B",IF(score_n_equations!T30&gt;=2.5,"C",IF(score_n_equations!T30&gt;0,"D")))))</f>
        <v>A</v>
      </c>
      <c r="U30" s="30" t="s">
        <v>48</v>
      </c>
      <c r="V30" s="30" t="s">
        <v>48</v>
      </c>
      <c r="W30" s="30" t="s">
        <v>48</v>
      </c>
      <c r="X30" s="36" t="str">
        <f>IF(score_n_equations!X30="NULL","NULL",IF(score_n_equations!X30&gt;=4.5,"A",IF(score_n_equations!X30&gt;=3.5,"B",IF(score_n_equations!X30&gt;=2.5,"C",IF(score_n_equations!X30&gt;0,"D")))))</f>
        <v>A</v>
      </c>
      <c r="Y30" s="30" t="s">
        <v>48</v>
      </c>
      <c r="Z30" s="30" t="s">
        <v>48</v>
      </c>
      <c r="AA30" s="36" t="str">
        <f>IF(score_n_equations!AA30="NULL","NULL",IF(score_n_equations!AA30&gt;=4.5,"A",IF(score_n_equations!AA30&gt;=3.5,"B",IF(score_n_equations!AA30&gt;=2.5,"C",IF(score_n_equations!AA30&gt;0,"D")))))</f>
        <v>A</v>
      </c>
      <c r="AB30" s="49" t="str">
        <f>IF(score_n_equations!AB30="NULL","NULL",IF(score_n_equations!AB30&gt;=4.5,"A",IF(score_n_equations!AB30&gt;=3.5,"B",IF(score_n_equations!AB30&gt;=2.5,"C",IF(score_n_equations!AB30&gt;0,"D")))))</f>
        <v>B</v>
      </c>
      <c r="AC30" s="49" t="str">
        <f>IF(score_n_equations!AC30="NULL","NULL",IF(score_n_equations!AC30&gt;=4.5,"A",IF(score_n_equations!AC30&gt;=3.5,"B",IF(score_n_equations!AC30&gt;=2.5,"C",IF(score_n_equations!AC30&gt;0,"D")))))</f>
        <v>B</v>
      </c>
      <c r="AD30" s="53" t="str">
        <f>IF(score_n_equations!AD30="NULL","NULL",IF(score_n_equations!AD30&gt;=4.5,"A",IF(score_n_equations!AD30&gt;=3.5,"B",IF(score_n_equations!AD30&gt;=2.5,"C",IF(score_n_equations!AD30&gt;0,"D")))))</f>
        <v>B</v>
      </c>
      <c r="AE30" s="53" t="str">
        <f>IF(score_n_equations!AE30="NULL","NULL",IF(score_n_equations!AE30&gt;=4.5,"A",IF(score_n_equations!AE30&gt;=3.5,"B",IF(score_n_equations!AE30&gt;=2.5,"C",IF(score_n_equations!AE30&gt;0,"D")))))</f>
        <v>A</v>
      </c>
    </row>
    <row r="31" spans="1:31" x14ac:dyDescent="0.25">
      <c r="A31" s="33">
        <v>1911</v>
      </c>
      <c r="B31" s="30" t="s">
        <v>46</v>
      </c>
      <c r="C31" s="30" t="s">
        <v>46</v>
      </c>
      <c r="D31" s="36" t="str">
        <f>IF(score_n_equations!D31="NULL","NULL",IF(score_n_equations!D31&gt;=4.5,"A",IF(score_n_equations!D31&gt;=3.5,"B",IF(score_n_equations!D31&gt;=2.5,"C",IF(score_n_equations!D31&gt;0,"D")))))</f>
        <v>C</v>
      </c>
      <c r="E31" s="30" t="s">
        <v>48</v>
      </c>
      <c r="F31" s="30" t="s">
        <v>47</v>
      </c>
      <c r="G31" s="30" t="s">
        <v>46</v>
      </c>
      <c r="H31" s="30" t="s">
        <v>47</v>
      </c>
      <c r="I31" s="36" t="str">
        <f>IF(score_n_equations!I31="NULL","NULL",IF(score_n_equations!I31&gt;=4.5,"A",IF(score_n_equations!I31&gt;=3.5,"B",IF(score_n_equations!I31&gt;=2.5,"C",IF(score_n_equations!I31&gt;0,"D")))))</f>
        <v>B</v>
      </c>
      <c r="J31" s="30" t="s">
        <v>66</v>
      </c>
      <c r="K31" s="30" t="s">
        <v>49</v>
      </c>
      <c r="L31" s="59" t="s">
        <v>47</v>
      </c>
      <c r="M31" s="30" t="s">
        <v>46</v>
      </c>
      <c r="N31" s="30" t="s">
        <v>46</v>
      </c>
      <c r="O31" s="59" t="s">
        <v>46</v>
      </c>
      <c r="P31" s="36" t="str">
        <f>IF(score_n_equations!P31="NULL","NULL",IF(score_n_equations!P31&gt;=4.5,"A",IF(score_n_equations!P31&gt;=3.5,"B",IF(score_n_equations!P31&gt;=2.5,"C",IF(score_n_equations!P31&gt;0,"D")))))</f>
        <v>C</v>
      </c>
      <c r="Q31" s="30" t="s">
        <v>48</v>
      </c>
      <c r="R31" s="30" t="s">
        <v>48</v>
      </c>
      <c r="S31" s="30" t="s">
        <v>46</v>
      </c>
      <c r="T31" s="36" t="str">
        <f>IF(score_n_equations!T31="NULL","NULL",IF(score_n_equations!T31&gt;=4.5,"A",IF(score_n_equations!T31&gt;=3.5,"B",IF(score_n_equations!T31&gt;=2.5,"C",IF(score_n_equations!T31&gt;0,"D")))))</f>
        <v>B</v>
      </c>
      <c r="U31" s="59" t="s">
        <v>47</v>
      </c>
      <c r="V31" s="30" t="s">
        <v>47</v>
      </c>
      <c r="W31" s="30" t="s">
        <v>48</v>
      </c>
      <c r="X31" s="36" t="str">
        <f>IF(score_n_equations!X31="NULL","NULL",IF(score_n_equations!X31&gt;=4.5,"A",IF(score_n_equations!X31&gt;=3.5,"B",IF(score_n_equations!X31&gt;=2.5,"C",IF(score_n_equations!X31&gt;0,"D")))))</f>
        <v>B</v>
      </c>
      <c r="Y31" s="30" t="s">
        <v>47</v>
      </c>
      <c r="Z31" s="30" t="s">
        <v>46</v>
      </c>
      <c r="AA31" s="36" t="str">
        <f>IF(score_n_equations!AA31="NULL","NULL",IF(score_n_equations!AA31&gt;=4.5,"A",IF(score_n_equations!AA31&gt;=3.5,"B",IF(score_n_equations!AA31&gt;=2.5,"C",IF(score_n_equations!AA31&gt;0,"D")))))</f>
        <v>B</v>
      </c>
      <c r="AB31" s="49" t="str">
        <f>IF(score_n_equations!AB31="NULL","NULL",IF(score_n_equations!AB31&gt;=4.5,"A",IF(score_n_equations!AB31&gt;=3.5,"B",IF(score_n_equations!AB31&gt;=2.5,"C",IF(score_n_equations!AB31&gt;0,"D")))))</f>
        <v>B</v>
      </c>
      <c r="AC31" s="49" t="str">
        <f>IF(score_n_equations!AC31="NULL","NULL",IF(score_n_equations!AC31&gt;=4.5,"A",IF(score_n_equations!AC31&gt;=3.5,"B",IF(score_n_equations!AC31&gt;=2.5,"C",IF(score_n_equations!AC31&gt;0,"D")))))</f>
        <v>C</v>
      </c>
      <c r="AD31" s="53" t="str">
        <f>IF(score_n_equations!AD31="NULL","NULL",IF(score_n_equations!AD31&gt;=4.5,"A",IF(score_n_equations!AD31&gt;=3.5,"B",IF(score_n_equations!AD31&gt;=2.5,"C",IF(score_n_equations!AD31&gt;0,"D")))))</f>
        <v>C</v>
      </c>
      <c r="AE31" s="53" t="str">
        <f>IF(score_n_equations!AE31="NULL","NULL",IF(score_n_equations!AE31&gt;=4.5,"A",IF(score_n_equations!AE31&gt;=3.5,"B",IF(score_n_equations!AE31&gt;=2.5,"C",IF(score_n_equations!AE31&gt;0,"D")))))</f>
        <v>B</v>
      </c>
    </row>
    <row r="32" spans="1:31" x14ac:dyDescent="0.25">
      <c r="A32" s="33">
        <v>1912</v>
      </c>
      <c r="B32" s="30" t="s">
        <v>66</v>
      </c>
      <c r="C32" s="30" t="s">
        <v>66</v>
      </c>
      <c r="D32" s="36" t="str">
        <f>IF(score_n_equations!D32="NULL","NULL",IF(score_n_equations!D32&gt;=4.5,"A",IF(score_n_equations!D32&gt;=3.5,"B",IF(score_n_equations!D32&gt;=2.5,"C",IF(score_n_equations!D32&gt;0,"D")))))</f>
        <v>D</v>
      </c>
      <c r="E32" s="30" t="s">
        <v>46</v>
      </c>
      <c r="F32" s="30" t="s">
        <v>46</v>
      </c>
      <c r="G32" s="30" t="s">
        <v>46</v>
      </c>
      <c r="H32" s="30" t="s">
        <v>48</v>
      </c>
      <c r="I32" s="36" t="str">
        <f>IF(score_n_equations!I32="NULL","NULL",IF(score_n_equations!I32&gt;=4.5,"A",IF(score_n_equations!I32&gt;=3.5,"B",IF(score_n_equations!I32&gt;=2.5,"C",IF(score_n_equations!I32&gt;0,"D")))))</f>
        <v>C</v>
      </c>
      <c r="J32" s="30" t="s">
        <v>49</v>
      </c>
      <c r="K32" s="30" t="s">
        <v>49</v>
      </c>
      <c r="L32" s="30" t="s">
        <v>46</v>
      </c>
      <c r="M32" s="30" t="s">
        <v>46</v>
      </c>
      <c r="N32" s="30" t="s">
        <v>65</v>
      </c>
      <c r="O32" s="30" t="s">
        <v>65</v>
      </c>
      <c r="P32" s="36" t="str">
        <f>IF(score_n_equations!P32="NULL","NULL",IF(score_n_equations!P32&gt;=4.5,"A",IF(score_n_equations!P32&gt;=3.5,"B",IF(score_n_equations!P32&gt;=2.5,"C",IF(score_n_equations!P32&gt;0,"D")))))</f>
        <v>C</v>
      </c>
      <c r="Q32" s="30" t="s">
        <v>46</v>
      </c>
      <c r="R32" s="30" t="s">
        <v>47</v>
      </c>
      <c r="S32" s="30" t="s">
        <v>46</v>
      </c>
      <c r="T32" s="36" t="str">
        <f>IF(score_n_equations!T32="NULL","NULL",IF(score_n_equations!T32&gt;=4.5,"A",IF(score_n_equations!T32&gt;=3.5,"B",IF(score_n_equations!T32&gt;=2.5,"C",IF(score_n_equations!T32&gt;0,"D")))))</f>
        <v>C</v>
      </c>
      <c r="U32" s="30" t="s">
        <v>46</v>
      </c>
      <c r="V32" s="30" t="s">
        <v>48</v>
      </c>
      <c r="W32" s="30" t="s">
        <v>46</v>
      </c>
      <c r="X32" s="36" t="str">
        <f>IF(score_n_equations!X32="NULL","NULL",IF(score_n_equations!X32&gt;=4.5,"A",IF(score_n_equations!X32&gt;=3.5,"B",IF(score_n_equations!X32&gt;=2.5,"C",IF(score_n_equations!X32&gt;0,"D")))))</f>
        <v>B</v>
      </c>
      <c r="Y32" s="30" t="s">
        <v>48</v>
      </c>
      <c r="Z32" s="30" t="s">
        <v>48</v>
      </c>
      <c r="AA32" s="36" t="str">
        <f>IF(score_n_equations!AA32="NULL","NULL",IF(score_n_equations!AA32&gt;=4.5,"A",IF(score_n_equations!AA32&gt;=3.5,"B",IF(score_n_equations!AA32&gt;=2.5,"C",IF(score_n_equations!AA32&gt;0,"D")))))</f>
        <v>A</v>
      </c>
      <c r="AB32" s="49" t="str">
        <f>IF(score_n_equations!AB32="NULL","NULL",IF(score_n_equations!AB32&gt;=4.5,"A",IF(score_n_equations!AB32&gt;=3.5,"B",IF(score_n_equations!AB32&gt;=2.5,"C",IF(score_n_equations!AB32&gt;0,"D")))))</f>
        <v>C</v>
      </c>
      <c r="AC32" s="49" t="str">
        <f>IF(score_n_equations!AC32="NULL","NULL",IF(score_n_equations!AC32&gt;=4.5,"A",IF(score_n_equations!AC32&gt;=3.5,"B",IF(score_n_equations!AC32&gt;=2.5,"C",IF(score_n_equations!AC32&gt;0,"D")))))</f>
        <v>C</v>
      </c>
      <c r="AD32" s="53" t="str">
        <f>IF(score_n_equations!AD32="NULL","NULL",IF(score_n_equations!AD32&gt;=4.5,"A",IF(score_n_equations!AD32&gt;=3.5,"B",IF(score_n_equations!AD32&gt;=2.5,"C",IF(score_n_equations!AD32&gt;0,"D")))))</f>
        <v>C</v>
      </c>
      <c r="AE32" s="53" t="str">
        <f>IF(score_n_equations!AE32="NULL","NULL",IF(score_n_equations!AE32&gt;=4.5,"A",IF(score_n_equations!AE32&gt;=3.5,"B",IF(score_n_equations!AE32&gt;=2.5,"C",IF(score_n_equations!AE32&gt;0,"D")))))</f>
        <v>C</v>
      </c>
    </row>
    <row r="33" spans="1:31" x14ac:dyDescent="0.25">
      <c r="A33" s="33">
        <v>1915</v>
      </c>
      <c r="B33" s="30" t="s">
        <v>47</v>
      </c>
      <c r="C33" s="30" t="s">
        <v>47</v>
      </c>
      <c r="D33" s="36" t="str">
        <f>IF(score_n_equations!D33="NULL","NULL",IF(score_n_equations!D33&gt;=4.5,"A",IF(score_n_equations!D33&gt;=3.5,"B",IF(score_n_equations!D33&gt;=2.5,"C",IF(score_n_equations!D33&gt;0,"D")))))</f>
        <v>B</v>
      </c>
      <c r="E33" s="30" t="s">
        <v>48</v>
      </c>
      <c r="F33" s="30" t="s">
        <v>48</v>
      </c>
      <c r="G33" s="30" t="s">
        <v>46</v>
      </c>
      <c r="H33" s="30" t="s">
        <v>46</v>
      </c>
      <c r="I33" s="36" t="str">
        <f>IF(score_n_equations!I33="NULL","NULL",IF(score_n_equations!I33&gt;=4.5,"A",IF(score_n_equations!I33&gt;=3.5,"B",IF(score_n_equations!I33&gt;=2.5,"C",IF(score_n_equations!I33&gt;0,"D")))))</f>
        <v>B</v>
      </c>
      <c r="J33" s="30" t="s">
        <v>46</v>
      </c>
      <c r="K33" s="61" t="s">
        <v>46</v>
      </c>
      <c r="L33" s="30" t="s">
        <v>47</v>
      </c>
      <c r="M33" s="59" t="s">
        <v>48</v>
      </c>
      <c r="N33" s="30" t="s">
        <v>65</v>
      </c>
      <c r="O33" s="30" t="s">
        <v>65</v>
      </c>
      <c r="P33" s="36" t="str">
        <f>IF(score_n_equations!P33="NULL","NULL",IF(score_n_equations!P33&gt;=4.5,"A",IF(score_n_equations!P33&gt;=3.5,"B",IF(score_n_equations!P33&gt;=2.5,"C",IF(score_n_equations!P33&gt;0,"D")))))</f>
        <v>B</v>
      </c>
      <c r="Q33" s="30" t="s">
        <v>48</v>
      </c>
      <c r="R33" s="30" t="s">
        <v>48</v>
      </c>
      <c r="S33" s="30" t="s">
        <v>48</v>
      </c>
      <c r="T33" s="36" t="str">
        <f>IF(score_n_equations!T33="NULL","NULL",IF(score_n_equations!T33&gt;=4.5,"A",IF(score_n_equations!T33&gt;=3.5,"B",IF(score_n_equations!T33&gt;=2.5,"C",IF(score_n_equations!T33&gt;0,"D")))))</f>
        <v>A</v>
      </c>
      <c r="U33" s="30" t="s">
        <v>47</v>
      </c>
      <c r="V33" s="30" t="s">
        <v>65</v>
      </c>
      <c r="W33" s="30" t="s">
        <v>65</v>
      </c>
      <c r="X33" s="36" t="str">
        <f>IF(score_n_equations!X33="NULL","NULL",IF(score_n_equations!X33&gt;=4.5,"A",IF(score_n_equations!X33&gt;=3.5,"B",IF(score_n_equations!X33&gt;=2.5,"C",IF(score_n_equations!X33&gt;0,"D")))))</f>
        <v>B</v>
      </c>
      <c r="Y33" s="30" t="s">
        <v>46</v>
      </c>
      <c r="Z33" s="30" t="s">
        <v>47</v>
      </c>
      <c r="AA33" s="36" t="str">
        <f>IF(score_n_equations!AA33="NULL","NULL",IF(score_n_equations!AA33&gt;=4.5,"A",IF(score_n_equations!AA33&gt;=3.5,"B",IF(score_n_equations!AA33&gt;=2.5,"C",IF(score_n_equations!AA33&gt;0,"D")))))</f>
        <v>B</v>
      </c>
      <c r="AB33" s="49" t="str">
        <f>IF(score_n_equations!AB33="NULL","NULL",IF(score_n_equations!AB33&gt;=4.5,"A",IF(score_n_equations!AB33&gt;=3.5,"B",IF(score_n_equations!AB33&gt;=2.5,"C",IF(score_n_equations!AB33&gt;0,"D")))))</f>
        <v>B</v>
      </c>
      <c r="AC33" s="49" t="str">
        <f>IF(score_n_equations!AC33="NULL","NULL",IF(score_n_equations!AC33&gt;=4.5,"A",IF(score_n_equations!AC33&gt;=3.5,"B",IF(score_n_equations!AC33&gt;=2.5,"C",IF(score_n_equations!AC33&gt;0,"D")))))</f>
        <v>B</v>
      </c>
      <c r="AD33" s="53" t="str">
        <f>IF(score_n_equations!AD33="NULL","NULL",IF(score_n_equations!AD33&gt;=4.5,"A",IF(score_n_equations!AD33&gt;=3.5,"B",IF(score_n_equations!AD33&gt;=2.5,"C",IF(score_n_equations!AD33&gt;0,"D")))))</f>
        <v>B</v>
      </c>
      <c r="AE33" s="53" t="str">
        <f>IF(score_n_equations!AE33="NULL","NULL",IF(score_n_equations!AE33&gt;=4.5,"A",IF(score_n_equations!AE33&gt;=3.5,"B",IF(score_n_equations!AE33&gt;=2.5,"C",IF(score_n_equations!AE33&gt;0,"D")))))</f>
        <v>A</v>
      </c>
    </row>
    <row r="34" spans="1:31" x14ac:dyDescent="0.25">
      <c r="A34" s="33">
        <v>1916</v>
      </c>
      <c r="B34" s="30" t="s">
        <v>66</v>
      </c>
      <c r="C34" s="30" t="s">
        <v>66</v>
      </c>
      <c r="D34" s="36" t="str">
        <f>IF(score_n_equations!D34="NULL","NULL",IF(score_n_equations!D34&gt;=4.5,"A",IF(score_n_equations!D34&gt;=3.5,"B",IF(score_n_equations!D34&gt;=2.5,"C",IF(score_n_equations!D34&gt;0,"D")))))</f>
        <v>D</v>
      </c>
      <c r="E34" s="30" t="s">
        <v>47</v>
      </c>
      <c r="F34" s="30" t="s">
        <v>46</v>
      </c>
      <c r="G34" s="30" t="s">
        <v>46</v>
      </c>
      <c r="H34" s="30" t="s">
        <v>46</v>
      </c>
      <c r="I34" s="36" t="str">
        <f>IF(score_n_equations!I34="NULL","NULL",IF(score_n_equations!I34&gt;=4.5,"A",IF(score_n_equations!I34&gt;=3.5,"B",IF(score_n_equations!I34&gt;=2.5,"C",IF(score_n_equations!I34&gt;0,"D")))))</f>
        <v>C</v>
      </c>
      <c r="J34" s="30" t="s">
        <v>46</v>
      </c>
      <c r="K34" s="30" t="s">
        <v>46</v>
      </c>
      <c r="L34" s="30" t="s">
        <v>66</v>
      </c>
      <c r="M34" s="30" t="s">
        <v>47</v>
      </c>
      <c r="N34" s="30" t="s">
        <v>65</v>
      </c>
      <c r="O34" s="30" t="s">
        <v>65</v>
      </c>
      <c r="P34" s="36" t="str">
        <f>IF(score_n_equations!P34="NULL","NULL",IF(score_n_equations!P34&gt;=4.5,"A",IF(score_n_equations!P34&gt;=3.5,"B",IF(score_n_equations!P34&gt;=2.5,"C",IF(score_n_equations!P34&gt;0,"D")))))</f>
        <v>C</v>
      </c>
      <c r="Q34" s="30" t="s">
        <v>46</v>
      </c>
      <c r="R34" s="30" t="s">
        <v>46</v>
      </c>
      <c r="S34" s="30" t="s">
        <v>48</v>
      </c>
      <c r="T34" s="36" t="str">
        <f>IF(score_n_equations!T34="NULL","NULL",IF(score_n_equations!T34&gt;=4.5,"A",IF(score_n_equations!T34&gt;=3.5,"B",IF(score_n_equations!T34&gt;=2.5,"C",IF(score_n_equations!T34&gt;0,"D")))))</f>
        <v>B</v>
      </c>
      <c r="U34" s="30" t="s">
        <v>48</v>
      </c>
      <c r="V34" s="30" t="s">
        <v>48</v>
      </c>
      <c r="W34" s="30" t="s">
        <v>48</v>
      </c>
      <c r="X34" s="36" t="str">
        <f>IF(score_n_equations!X34="NULL","NULL",IF(score_n_equations!X34&gt;=4.5,"A",IF(score_n_equations!X34&gt;=3.5,"B",IF(score_n_equations!X34&gt;=2.5,"C",IF(score_n_equations!X34&gt;0,"D")))))</f>
        <v>A</v>
      </c>
      <c r="Y34" s="30" t="s">
        <v>47</v>
      </c>
      <c r="Z34" s="30" t="s">
        <v>48</v>
      </c>
      <c r="AA34" s="36" t="str">
        <f>IF(score_n_equations!AA34="NULL","NULL",IF(score_n_equations!AA34&gt;=4.5,"A",IF(score_n_equations!AA34&gt;=3.5,"B",IF(score_n_equations!AA34&gt;=2.5,"C",IF(score_n_equations!AA34&gt;0,"D")))))</f>
        <v>A</v>
      </c>
      <c r="AB34" s="49" t="str">
        <f>IF(score_n_equations!AB34="NULL","NULL",IF(score_n_equations!AB34&gt;=4.5,"A",IF(score_n_equations!AB34&gt;=3.5,"B",IF(score_n_equations!AB34&gt;=2.5,"C",IF(score_n_equations!AB34&gt;0,"D")))))</f>
        <v>D</v>
      </c>
      <c r="AC34" s="49" t="str">
        <f>IF(score_n_equations!AC34="NULL","NULL",IF(score_n_equations!AC34&gt;=4.5,"A",IF(score_n_equations!AC34&gt;=3.5,"B",IF(score_n_equations!AC34&gt;=2.5,"C",IF(score_n_equations!AC34&gt;0,"D")))))</f>
        <v>C</v>
      </c>
      <c r="AD34" s="53" t="str">
        <f>IF(score_n_equations!AD34="NULL","NULL",IF(score_n_equations!AD34&gt;=4.5,"A",IF(score_n_equations!AD34&gt;=3.5,"B",IF(score_n_equations!AD34&gt;=2.5,"C",IF(score_n_equations!AD34&gt;0,"D")))))</f>
        <v>C</v>
      </c>
      <c r="AE34" s="53" t="str">
        <f>IF(score_n_equations!AE34="NULL","NULL",IF(score_n_equations!AE34&gt;=4.5,"A",IF(score_n_equations!AE34&gt;=3.5,"B",IF(score_n_equations!AE34&gt;=2.5,"C",IF(score_n_equations!AE34&gt;0,"D")))))</f>
        <v>B</v>
      </c>
    </row>
    <row r="35" spans="1:31" x14ac:dyDescent="0.25">
      <c r="A35" s="33">
        <v>1917</v>
      </c>
      <c r="B35" s="30" t="s">
        <v>66</v>
      </c>
      <c r="C35" s="30" t="s">
        <v>66</v>
      </c>
      <c r="D35" s="36" t="str">
        <f>IF(score_n_equations!D35="NULL","NULL",IF(score_n_equations!D35&gt;=4.5,"A",IF(score_n_equations!D35&gt;=3.5,"B",IF(score_n_equations!D35&gt;=2.5,"C",IF(score_n_equations!D35&gt;0,"D")))))</f>
        <v>D</v>
      </c>
      <c r="E35" s="30" t="s">
        <v>66</v>
      </c>
      <c r="F35" s="30" t="s">
        <v>66</v>
      </c>
      <c r="G35" s="30" t="s">
        <v>47</v>
      </c>
      <c r="H35" s="30" t="s">
        <v>46</v>
      </c>
      <c r="I35" s="36" t="str">
        <f>IF(score_n_equations!I35="NULL","NULL",IF(score_n_equations!I35&gt;=4.5,"A",IF(score_n_equations!I35&gt;=3.5,"B",IF(score_n_equations!I35&gt;=2.5,"C",IF(score_n_equations!I35&gt;0,"D")))))</f>
        <v>D</v>
      </c>
      <c r="J35" s="61" t="s">
        <v>49</v>
      </c>
      <c r="K35" s="30" t="s">
        <v>47</v>
      </c>
      <c r="L35" s="59" t="s">
        <v>48</v>
      </c>
      <c r="M35" s="30" t="s">
        <v>46</v>
      </c>
      <c r="N35" s="30" t="s">
        <v>47</v>
      </c>
      <c r="O35" s="30" t="s">
        <v>46</v>
      </c>
      <c r="P35" s="36" t="str">
        <f>IF(score_n_equations!P35="NULL","NULL",IF(score_n_equations!P35&gt;=4.5,"A",IF(score_n_equations!P35&gt;=3.5,"B",IF(score_n_equations!P35&gt;=2.5,"C",IF(score_n_equations!P35&gt;0,"D")))))</f>
        <v>B</v>
      </c>
      <c r="Q35" s="30" t="s">
        <v>47</v>
      </c>
      <c r="R35" s="30" t="s">
        <v>66</v>
      </c>
      <c r="S35" s="30" t="s">
        <v>46</v>
      </c>
      <c r="T35" s="36" t="str">
        <f>IF(score_n_equations!T35="NULL","NULL",IF(score_n_equations!T35&gt;=4.5,"A",IF(score_n_equations!T35&gt;=3.5,"B",IF(score_n_equations!T35&gt;=2.5,"C",IF(score_n_equations!T35&gt;0,"D")))))</f>
        <v>C</v>
      </c>
      <c r="U35" s="30" t="s">
        <v>48</v>
      </c>
      <c r="V35" s="30" t="s">
        <v>48</v>
      </c>
      <c r="W35" s="30" t="s">
        <v>48</v>
      </c>
      <c r="X35" s="36" t="str">
        <f>IF(score_n_equations!X35="NULL","NULL",IF(score_n_equations!X35&gt;=4.5,"A",IF(score_n_equations!X35&gt;=3.5,"B",IF(score_n_equations!X35&gt;=2.5,"C",IF(score_n_equations!X35&gt;0,"D")))))</f>
        <v>A</v>
      </c>
      <c r="Y35" s="30" t="s">
        <v>46</v>
      </c>
      <c r="Z35" s="30" t="s">
        <v>66</v>
      </c>
      <c r="AA35" s="36" t="str">
        <f>IF(score_n_equations!AA35="NULL","NULL",IF(score_n_equations!AA35&gt;=4.5,"A",IF(score_n_equations!AA35&gt;=3.5,"B",IF(score_n_equations!AA35&gt;=2.5,"C",IF(score_n_equations!AA35&gt;0,"D")))))</f>
        <v>D</v>
      </c>
      <c r="AB35" s="49" t="str">
        <f>IF(score_n_equations!AB35="NULL","NULL",IF(score_n_equations!AB35&gt;=4.5,"A",IF(score_n_equations!AB35&gt;=3.5,"B",IF(score_n_equations!AB35&gt;=2.5,"C",IF(score_n_equations!AB35&gt;0,"D")))))</f>
        <v>D</v>
      </c>
      <c r="AC35" s="49" t="str">
        <f>IF(score_n_equations!AC35="NULL","NULL",IF(score_n_equations!AC35&gt;=4.5,"A",IF(score_n_equations!AC35&gt;=3.5,"B",IF(score_n_equations!AC35&gt;=2.5,"C",IF(score_n_equations!AC35&gt;0,"D")))))</f>
        <v>C</v>
      </c>
      <c r="AD35" s="53" t="str">
        <f>IF(score_n_equations!AD35="NULL","NULL",IF(score_n_equations!AD35&gt;=4.5,"A",IF(score_n_equations!AD35&gt;=3.5,"B",IF(score_n_equations!AD35&gt;=2.5,"C",IF(score_n_equations!AD35&gt;0,"D")))))</f>
        <v>C</v>
      </c>
      <c r="AE35" s="53" t="str">
        <f>IF(score_n_equations!AE35="NULL","NULL",IF(score_n_equations!AE35&gt;=4.5,"A",IF(score_n_equations!AE35&gt;=3.5,"B",IF(score_n_equations!AE35&gt;=2.5,"C",IF(score_n_equations!AE35&gt;0,"D")))))</f>
        <v>C</v>
      </c>
    </row>
    <row r="36" spans="1:31" x14ac:dyDescent="0.25">
      <c r="A36" s="33">
        <v>1931</v>
      </c>
      <c r="B36" s="30" t="s">
        <v>66</v>
      </c>
      <c r="C36" s="30" t="s">
        <v>46</v>
      </c>
      <c r="D36" s="36" t="str">
        <f>IF(score_n_equations!D36="NULL","NULL",IF(score_n_equations!D36&gt;=4.5,"A",IF(score_n_equations!D36&gt;=3.5,"B",IF(score_n_equations!D36&gt;=2.5,"C",IF(score_n_equations!D36&gt;0,"D")))))</f>
        <v>D</v>
      </c>
      <c r="E36" s="30" t="s">
        <v>47</v>
      </c>
      <c r="F36" s="30" t="s">
        <v>46</v>
      </c>
      <c r="G36" s="30" t="s">
        <v>46</v>
      </c>
      <c r="H36" s="30" t="s">
        <v>46</v>
      </c>
      <c r="I36" s="36" t="str">
        <f>IF(score_n_equations!I36="NULL","NULL",IF(score_n_equations!I36&gt;=4.5,"A",IF(score_n_equations!I36&gt;=3.5,"B",IF(score_n_equations!I36&gt;=2.5,"C",IF(score_n_equations!I36&gt;0,"D")))))</f>
        <v>C</v>
      </c>
      <c r="J36" s="30" t="s">
        <v>49</v>
      </c>
      <c r="K36" s="30" t="s">
        <v>49</v>
      </c>
      <c r="L36" s="30" t="s">
        <v>66</v>
      </c>
      <c r="M36" s="30" t="s">
        <v>66</v>
      </c>
      <c r="N36" s="30" t="s">
        <v>46</v>
      </c>
      <c r="O36" s="30" t="s">
        <v>48</v>
      </c>
      <c r="P36" s="36" t="str">
        <f>IF(score_n_equations!P36="NULL","NULL",IF(score_n_equations!P36&gt;=4.5,"A",IF(score_n_equations!P36&gt;=3.5,"B",IF(score_n_equations!P36&gt;=2.5,"C",IF(score_n_equations!P36&gt;0,"D")))))</f>
        <v>D</v>
      </c>
      <c r="Q36" s="30" t="s">
        <v>66</v>
      </c>
      <c r="R36" s="30" t="s">
        <v>66</v>
      </c>
      <c r="S36" s="30" t="s">
        <v>66</v>
      </c>
      <c r="T36" s="36" t="str">
        <f>IF(score_n_equations!T36="NULL","NULL",IF(score_n_equations!T36&gt;=4.5,"A",IF(score_n_equations!T36&gt;=3.5,"B",IF(score_n_equations!T36&gt;=2.5,"C",IF(score_n_equations!T36&gt;0,"D")))))</f>
        <v>D</v>
      </c>
      <c r="U36" s="30" t="s">
        <v>47</v>
      </c>
      <c r="V36" s="30" t="s">
        <v>48</v>
      </c>
      <c r="W36" s="30" t="s">
        <v>47</v>
      </c>
      <c r="X36" s="36" t="str">
        <f>IF(score_n_equations!X36="NULL","NULL",IF(score_n_equations!X36&gt;=4.5,"A",IF(score_n_equations!X36&gt;=3.5,"B",IF(score_n_equations!X36&gt;=2.5,"C",IF(score_n_equations!X36&gt;0,"D")))))</f>
        <v>B</v>
      </c>
      <c r="Y36" s="30" t="s">
        <v>47</v>
      </c>
      <c r="Z36" s="30" t="s">
        <v>46</v>
      </c>
      <c r="AA36" s="36" t="str">
        <f>IF(score_n_equations!AA36="NULL","NULL",IF(score_n_equations!AA36&gt;=4.5,"A",IF(score_n_equations!AA36&gt;=3.5,"B",IF(score_n_equations!AA36&gt;=2.5,"C",IF(score_n_equations!AA36&gt;0,"D")))))</f>
        <v>B</v>
      </c>
      <c r="AB36" s="49" t="str">
        <f>IF(score_n_equations!AB36="NULL","NULL",IF(score_n_equations!AB36&gt;=4.5,"A",IF(score_n_equations!AB36&gt;=3.5,"B",IF(score_n_equations!AB36&gt;=2.5,"C",IF(score_n_equations!AB36&gt;0,"D")))))</f>
        <v>C</v>
      </c>
      <c r="AC36" s="49" t="str">
        <f>IF(score_n_equations!AC36="NULL","NULL",IF(score_n_equations!AC36&gt;=4.5,"A",IF(score_n_equations!AC36&gt;=3.5,"B",IF(score_n_equations!AC36&gt;=2.5,"C",IF(score_n_equations!AC36&gt;0,"D")))))</f>
        <v>D</v>
      </c>
      <c r="AD36" s="53" t="str">
        <f>IF(score_n_equations!AD36="NULL","NULL",IF(score_n_equations!AD36&gt;=4.5,"A",IF(score_n_equations!AD36&gt;=3.5,"B",IF(score_n_equations!AD36&gt;=2.5,"C",IF(score_n_equations!AD36&gt;0,"D")))))</f>
        <v>D</v>
      </c>
      <c r="AE36" s="53" t="str">
        <f>IF(score_n_equations!AE36="NULL","NULL",IF(score_n_equations!AE36&gt;=4.5,"A",IF(score_n_equations!AE36&gt;=3.5,"B",IF(score_n_equations!AE36&gt;=2.5,"C",IF(score_n_equations!AE36&gt;0,"D")))))</f>
        <v>C</v>
      </c>
    </row>
    <row r="37" spans="1:31" x14ac:dyDescent="0.25">
      <c r="A37" s="33">
        <v>1952</v>
      </c>
      <c r="B37" s="30" t="s">
        <v>46</v>
      </c>
      <c r="C37" s="30" t="s">
        <v>46</v>
      </c>
      <c r="D37" s="36" t="str">
        <f>IF(score_n_equations!D37="NULL","NULL",IF(score_n_equations!D37&gt;=4.5,"A",IF(score_n_equations!D37&gt;=3.5,"B",IF(score_n_equations!D37&gt;=2.5,"C",IF(score_n_equations!D37&gt;0,"D")))))</f>
        <v>C</v>
      </c>
      <c r="E37" s="30" t="s">
        <v>47</v>
      </c>
      <c r="F37" s="30" t="s">
        <v>47</v>
      </c>
      <c r="G37" s="30" t="s">
        <v>47</v>
      </c>
      <c r="H37" s="30" t="s">
        <v>47</v>
      </c>
      <c r="I37" s="36" t="str">
        <f>IF(score_n_equations!I37="NULL","NULL",IF(score_n_equations!I37&gt;=4.5,"A",IF(score_n_equations!I37&gt;=3.5,"B",IF(score_n_equations!I37&gt;=2.5,"C",IF(score_n_equations!I37&gt;0,"D")))))</f>
        <v>B</v>
      </c>
      <c r="J37" s="30" t="s">
        <v>46</v>
      </c>
      <c r="K37" s="30" t="s">
        <v>47</v>
      </c>
      <c r="L37" s="59" t="s">
        <v>48</v>
      </c>
      <c r="M37" s="30" t="s">
        <v>47</v>
      </c>
      <c r="N37" s="30" t="s">
        <v>48</v>
      </c>
      <c r="O37" s="30" t="s">
        <v>48</v>
      </c>
      <c r="P37" s="36" t="str">
        <f>IF(score_n_equations!P37="NULL","NULL",IF(score_n_equations!P37&gt;=4.5,"A",IF(score_n_equations!P37&gt;=3.5,"B",IF(score_n_equations!P37&gt;=2.5,"C",IF(score_n_equations!P37&gt;0,"D")))))</f>
        <v>B</v>
      </c>
      <c r="Q37" s="30" t="s">
        <v>47</v>
      </c>
      <c r="R37" s="30" t="s">
        <v>46</v>
      </c>
      <c r="S37" s="30" t="s">
        <v>48</v>
      </c>
      <c r="T37" s="36" t="str">
        <f>IF(score_n_equations!T37="NULL","NULL",IF(score_n_equations!T37&gt;=4.5,"A",IF(score_n_equations!T37&gt;=3.5,"B",IF(score_n_equations!T37&gt;=2.5,"C",IF(score_n_equations!T37&gt;0,"D")))))</f>
        <v>B</v>
      </c>
      <c r="U37" s="30" t="s">
        <v>47</v>
      </c>
      <c r="V37" s="30" t="s">
        <v>48</v>
      </c>
      <c r="W37" s="30" t="s">
        <v>48</v>
      </c>
      <c r="X37" s="36" t="str">
        <f>IF(score_n_equations!X37="NULL","NULL",IF(score_n_equations!X37&gt;=4.5,"A",IF(score_n_equations!X37&gt;=3.5,"B",IF(score_n_equations!X37&gt;=2.5,"C",IF(score_n_equations!X37&gt;0,"D")))))</f>
        <v>A</v>
      </c>
      <c r="Y37" s="30" t="s">
        <v>47</v>
      </c>
      <c r="Z37" s="30" t="s">
        <v>46</v>
      </c>
      <c r="AA37" s="36" t="str">
        <f>IF(score_n_equations!AA37="NULL","NULL",IF(score_n_equations!AA37&gt;=4.5,"A",IF(score_n_equations!AA37&gt;=3.5,"B",IF(score_n_equations!AA37&gt;=2.5,"C",IF(score_n_equations!AA37&gt;0,"D")))))</f>
        <v>B</v>
      </c>
      <c r="AB37" s="49" t="str">
        <f>IF(score_n_equations!AB37="NULL","NULL",IF(score_n_equations!AB37&gt;=4.5,"A",IF(score_n_equations!AB37&gt;=3.5,"B",IF(score_n_equations!AB37&gt;=2.5,"C",IF(score_n_equations!AB37&gt;0,"D")))))</f>
        <v>B</v>
      </c>
      <c r="AC37" s="49" t="str">
        <f>IF(score_n_equations!AC37="NULL","NULL",IF(score_n_equations!AC37&gt;=4.5,"A",IF(score_n_equations!AC37&gt;=3.5,"B",IF(score_n_equations!AC37&gt;=2.5,"C",IF(score_n_equations!AC37&gt;0,"D")))))</f>
        <v>B</v>
      </c>
      <c r="AD37" s="53" t="str">
        <f>IF(score_n_equations!AD37="NULL","NULL",IF(score_n_equations!AD37&gt;=4.5,"A",IF(score_n_equations!AD37&gt;=3.5,"B",IF(score_n_equations!AD37&gt;=2.5,"C",IF(score_n_equations!AD37&gt;0,"D")))))</f>
        <v>B</v>
      </c>
      <c r="AE37" s="53" t="str">
        <f>IF(score_n_equations!AE37="NULL","NULL",IF(score_n_equations!AE37&gt;=4.5,"A",IF(score_n_equations!AE37&gt;=3.5,"B",IF(score_n_equations!AE37&gt;=2.5,"C",IF(score_n_equations!AE37&gt;0,"D")))))</f>
        <v>A</v>
      </c>
    </row>
    <row r="38" spans="1:31" x14ac:dyDescent="0.25">
      <c r="A38" s="33">
        <v>1960</v>
      </c>
      <c r="B38" s="30" t="s">
        <v>46</v>
      </c>
      <c r="C38" s="30" t="s">
        <v>48</v>
      </c>
      <c r="D38" s="36" t="str">
        <f>IF(score_n_equations!D38="NULL","NULL",IF(score_n_equations!D38&gt;=4.5,"A",IF(score_n_equations!D38&gt;=3.5,"B",IF(score_n_equations!D38&gt;=2.5,"C",IF(score_n_equations!D38&gt;0,"D")))))</f>
        <v>B</v>
      </c>
      <c r="E38" s="30" t="s">
        <v>48</v>
      </c>
      <c r="F38" s="30" t="s">
        <v>47</v>
      </c>
      <c r="G38" s="30" t="s">
        <v>48</v>
      </c>
      <c r="H38" s="30" t="s">
        <v>47</v>
      </c>
      <c r="I38" s="36" t="str">
        <f>IF(score_n_equations!I38="NULL","NULL",IF(score_n_equations!I38&gt;=4.5,"A",IF(score_n_equations!I38&gt;=3.5,"B",IF(score_n_equations!I38&gt;=2.5,"C",IF(score_n_equations!I38&gt;0,"D")))))</f>
        <v>B</v>
      </c>
      <c r="J38" s="30" t="s">
        <v>46</v>
      </c>
      <c r="K38" s="30" t="s">
        <v>47</v>
      </c>
      <c r="L38" s="30" t="s">
        <v>48</v>
      </c>
      <c r="M38" s="30" t="s">
        <v>48</v>
      </c>
      <c r="N38" s="30" t="s">
        <v>65</v>
      </c>
      <c r="O38" s="30" t="s">
        <v>65</v>
      </c>
      <c r="P38" s="36" t="str">
        <f>IF(score_n_equations!P38="NULL","NULL",IF(score_n_equations!P38&gt;=4.5,"A",IF(score_n_equations!P38&gt;=3.5,"B",IF(score_n_equations!P38&gt;=2.5,"C",IF(score_n_equations!P38&gt;0,"D")))))</f>
        <v>B</v>
      </c>
      <c r="Q38" s="30" t="s">
        <v>48</v>
      </c>
      <c r="R38" s="30" t="s">
        <v>48</v>
      </c>
      <c r="S38" s="30" t="s">
        <v>48</v>
      </c>
      <c r="T38" s="36" t="str">
        <f>IF(score_n_equations!T38="NULL","NULL",IF(score_n_equations!T38&gt;=4.5,"A",IF(score_n_equations!T38&gt;=3.5,"B",IF(score_n_equations!T38&gt;=2.5,"C",IF(score_n_equations!T38&gt;0,"D")))))</f>
        <v>A</v>
      </c>
      <c r="U38" s="30" t="s">
        <v>48</v>
      </c>
      <c r="V38" s="30" t="s">
        <v>48</v>
      </c>
      <c r="W38" s="30" t="s">
        <v>48</v>
      </c>
      <c r="X38" s="36" t="str">
        <f>IF(score_n_equations!X38="NULL","NULL",IF(score_n_equations!X38&gt;=4.5,"A",IF(score_n_equations!X38&gt;=3.5,"B",IF(score_n_equations!X38&gt;=2.5,"C",IF(score_n_equations!X38&gt;0,"D")))))</f>
        <v>A</v>
      </c>
      <c r="Y38" s="30" t="s">
        <v>47</v>
      </c>
      <c r="Z38" s="30" t="s">
        <v>48</v>
      </c>
      <c r="AA38" s="36" t="str">
        <f>IF(score_n_equations!AA38="NULL","NULL",IF(score_n_equations!AA38&gt;=4.5,"A",IF(score_n_equations!AA38&gt;=3.5,"B",IF(score_n_equations!AA38&gt;=2.5,"C",IF(score_n_equations!AA38&gt;0,"D")))))</f>
        <v>A</v>
      </c>
      <c r="AB38" s="49" t="str">
        <f>IF(score_n_equations!AB38="NULL","NULL",IF(score_n_equations!AB38&gt;=4.5,"A",IF(score_n_equations!AB38&gt;=3.5,"B",IF(score_n_equations!AB38&gt;=2.5,"C",IF(score_n_equations!AB38&gt;0,"D")))))</f>
        <v>B</v>
      </c>
      <c r="AC38" s="49" t="str">
        <f>IF(score_n_equations!AC38="NULL","NULL",IF(score_n_equations!AC38&gt;=4.5,"A",IF(score_n_equations!AC38&gt;=3.5,"B",IF(score_n_equations!AC38&gt;=2.5,"C",IF(score_n_equations!AC38&gt;0,"D")))))</f>
        <v>A</v>
      </c>
      <c r="AD38" s="53" t="str">
        <f>IF(score_n_equations!AD38="NULL","NULL",IF(score_n_equations!AD38&gt;=4.5,"A",IF(score_n_equations!AD38&gt;=3.5,"B",IF(score_n_equations!AD38&gt;=2.5,"C",IF(score_n_equations!AD38&gt;0,"D")))))</f>
        <v>A</v>
      </c>
      <c r="AE38" s="53" t="str">
        <f>IF(score_n_equations!AE38="NULL","NULL",IF(score_n_equations!AE38&gt;=4.5,"A",IF(score_n_equations!AE38&gt;=3.5,"B",IF(score_n_equations!AE38&gt;=2.5,"C",IF(score_n_equations!AE38&gt;0,"D")))))</f>
        <v>A</v>
      </c>
    </row>
    <row r="39" spans="1:31" x14ac:dyDescent="0.25">
      <c r="A39" s="33">
        <v>1961</v>
      </c>
      <c r="B39" s="30" t="s">
        <v>66</v>
      </c>
      <c r="C39" s="30" t="s">
        <v>66</v>
      </c>
      <c r="D39" s="36" t="str">
        <f>IF(score_n_equations!D39="NULL","NULL",IF(score_n_equations!D39&gt;=4.5,"A",IF(score_n_equations!D39&gt;=3.5,"B",IF(score_n_equations!D39&gt;=2.5,"C",IF(score_n_equations!D39&gt;0,"D")))))</f>
        <v>D</v>
      </c>
      <c r="E39" s="30" t="s">
        <v>48</v>
      </c>
      <c r="F39" s="30" t="s">
        <v>46</v>
      </c>
      <c r="G39" s="30" t="s">
        <v>46</v>
      </c>
      <c r="H39" s="30" t="s">
        <v>46</v>
      </c>
      <c r="I39" s="36" t="str">
        <f>IF(score_n_equations!I39="NULL","NULL",IF(score_n_equations!I39&gt;=4.5,"A",IF(score_n_equations!I39&gt;=3.5,"B",IF(score_n_equations!I39&gt;=2.5,"C",IF(score_n_equations!I39&gt;0,"D")))))</f>
        <v>C</v>
      </c>
      <c r="J39" s="30" t="s">
        <v>47</v>
      </c>
      <c r="K39" s="30" t="s">
        <v>47</v>
      </c>
      <c r="L39" s="30" t="s">
        <v>46</v>
      </c>
      <c r="M39" s="30" t="s">
        <v>66</v>
      </c>
      <c r="N39" s="30" t="s">
        <v>65</v>
      </c>
      <c r="O39" s="30" t="s">
        <v>65</v>
      </c>
      <c r="P39" s="36" t="str">
        <f>IF(score_n_equations!P39="NULL","NULL",IF(score_n_equations!P39&gt;=4.5,"A",IF(score_n_equations!P39&gt;=3.5,"B",IF(score_n_equations!P39&gt;=2.5,"C",IF(score_n_equations!P39&gt;0,"D")))))</f>
        <v>C</v>
      </c>
      <c r="Q39" s="30" t="s">
        <v>66</v>
      </c>
      <c r="R39" s="30" t="s">
        <v>66</v>
      </c>
      <c r="S39" s="30" t="s">
        <v>66</v>
      </c>
      <c r="T39" s="36" t="str">
        <f>IF(score_n_equations!T39="NULL","NULL",IF(score_n_equations!T39&gt;=4.5,"A",IF(score_n_equations!T39&gt;=3.5,"B",IF(score_n_equations!T39&gt;=2.5,"C",IF(score_n_equations!T39&gt;0,"D")))))</f>
        <v>D</v>
      </c>
      <c r="U39" s="30" t="s">
        <v>48</v>
      </c>
      <c r="V39" s="30" t="s">
        <v>46</v>
      </c>
      <c r="W39" s="30" t="s">
        <v>48</v>
      </c>
      <c r="X39" s="36" t="str">
        <f>IF(score_n_equations!X39="NULL","NULL",IF(score_n_equations!X39&gt;=4.5,"A",IF(score_n_equations!X39&gt;=3.5,"B",IF(score_n_equations!X39&gt;=2.5,"C",IF(score_n_equations!X39&gt;0,"D")))))</f>
        <v>B</v>
      </c>
      <c r="Y39" s="30" t="s">
        <v>66</v>
      </c>
      <c r="Z39" s="30" t="s">
        <v>48</v>
      </c>
      <c r="AA39" s="36" t="str">
        <f>IF(score_n_equations!AA39="NULL","NULL",IF(score_n_equations!AA39&gt;=4.5,"A",IF(score_n_equations!AA39&gt;=3.5,"B",IF(score_n_equations!AA39&gt;=2.5,"C",IF(score_n_equations!AA39&gt;0,"D")))))</f>
        <v>C</v>
      </c>
      <c r="AB39" s="49" t="str">
        <f>IF(score_n_equations!AB39="NULL","NULL",IF(score_n_equations!AB39&gt;=4.5,"A",IF(score_n_equations!AB39&gt;=3.5,"B",IF(score_n_equations!AB39&gt;=2.5,"C",IF(score_n_equations!AB39&gt;0,"D")))))</f>
        <v>C</v>
      </c>
      <c r="AC39" s="49" t="str">
        <f>IF(score_n_equations!AC39="NULL","NULL",IF(score_n_equations!AC39&gt;=4.5,"A",IF(score_n_equations!AC39&gt;=3.5,"B",IF(score_n_equations!AC39&gt;=2.5,"C",IF(score_n_equations!AC39&gt;0,"D")))))</f>
        <v>D</v>
      </c>
      <c r="AD39" s="53" t="str">
        <f>IF(score_n_equations!AD39="NULL","NULL",IF(score_n_equations!AD39&gt;=4.5,"A",IF(score_n_equations!AD39&gt;=3.5,"B",IF(score_n_equations!AD39&gt;=2.5,"C",IF(score_n_equations!AD39&gt;0,"D")))))</f>
        <v>D</v>
      </c>
      <c r="AE39" s="53" t="str">
        <f>IF(score_n_equations!AE39="NULL","NULL",IF(score_n_equations!AE39&gt;=4.5,"A",IF(score_n_equations!AE39&gt;=3.5,"B",IF(score_n_equations!AE39&gt;=2.5,"C",IF(score_n_equations!AE39&gt;0,"D")))))</f>
        <v>C</v>
      </c>
    </row>
    <row r="40" spans="1:31" x14ac:dyDescent="0.25">
      <c r="A40" s="33">
        <v>1962</v>
      </c>
      <c r="B40" s="30" t="s">
        <v>66</v>
      </c>
      <c r="C40" s="30" t="s">
        <v>66</v>
      </c>
      <c r="D40" s="36" t="str">
        <f>IF(score_n_equations!D40="NULL","NULL",IF(score_n_equations!D40&gt;=4.5,"A",IF(score_n_equations!D40&gt;=3.5,"B",IF(score_n_equations!D40&gt;=2.5,"C",IF(score_n_equations!D40&gt;0,"D")))))</f>
        <v>D</v>
      </c>
      <c r="E40" s="30" t="s">
        <v>47</v>
      </c>
      <c r="F40" s="30" t="s">
        <v>46</v>
      </c>
      <c r="G40" s="30" t="s">
        <v>66</v>
      </c>
      <c r="H40" s="30" t="s">
        <v>46</v>
      </c>
      <c r="I40" s="36" t="str">
        <f>IF(score_n_equations!I40="NULL","NULL",IF(score_n_equations!I40&gt;=4.5,"A",IF(score_n_equations!I40&gt;=3.5,"B",IF(score_n_equations!I40&gt;=2.5,"C",IF(score_n_equations!I40&gt;0,"D")))))</f>
        <v>C</v>
      </c>
      <c r="J40" s="30" t="s">
        <v>49</v>
      </c>
      <c r="K40" s="30" t="s">
        <v>46</v>
      </c>
      <c r="L40" s="30" t="s">
        <v>46</v>
      </c>
      <c r="M40" s="59" t="s">
        <v>48</v>
      </c>
      <c r="N40" s="30" t="s">
        <v>65</v>
      </c>
      <c r="O40" s="30" t="s">
        <v>65</v>
      </c>
      <c r="P40" s="36" t="str">
        <f>IF(score_n_equations!P40="NULL","NULL",IF(score_n_equations!P40&gt;=4.5,"A",IF(score_n_equations!P40&gt;=3.5,"B",IF(score_n_equations!P40&gt;=2.5,"C",IF(score_n_equations!P40&gt;0,"D")))))</f>
        <v>C</v>
      </c>
      <c r="Q40" s="30" t="s">
        <v>66</v>
      </c>
      <c r="R40" s="30" t="s">
        <v>46</v>
      </c>
      <c r="S40" s="30" t="s">
        <v>47</v>
      </c>
      <c r="T40" s="36" t="str">
        <f>IF(score_n_equations!T40="NULL","NULL",IF(score_n_equations!T40&gt;=4.5,"A",IF(score_n_equations!T40&gt;=3.5,"B",IF(score_n_equations!T40&gt;=2.5,"C",IF(score_n_equations!T40&gt;0,"D")))))</f>
        <v>C</v>
      </c>
      <c r="U40" s="30" t="s">
        <v>47</v>
      </c>
      <c r="V40" s="30" t="s">
        <v>48</v>
      </c>
      <c r="W40" s="30" t="s">
        <v>46</v>
      </c>
      <c r="X40" s="36" t="str">
        <f>IF(score_n_equations!X40="NULL","NULL",IF(score_n_equations!X40&gt;=4.5,"A",IF(score_n_equations!X40&gt;=3.5,"B",IF(score_n_equations!X40&gt;=2.5,"C",IF(score_n_equations!X40&gt;0,"D")))))</f>
        <v>B</v>
      </c>
      <c r="Y40" s="30" t="s">
        <v>66</v>
      </c>
      <c r="Z40" s="30" t="s">
        <v>66</v>
      </c>
      <c r="AA40" s="36" t="str">
        <f>IF(score_n_equations!AA40="NULL","NULL",IF(score_n_equations!AA40&gt;=4.5,"A",IF(score_n_equations!AA40&gt;=3.5,"B",IF(score_n_equations!AA40&gt;=2.5,"C",IF(score_n_equations!AA40&gt;0,"D")))))</f>
        <v>D</v>
      </c>
      <c r="AB40" s="49" t="str">
        <f>IF(score_n_equations!AB40="NULL","NULL",IF(score_n_equations!AB40&gt;=4.5,"A",IF(score_n_equations!AB40&gt;=3.5,"B",IF(score_n_equations!AB40&gt;=2.5,"C",IF(score_n_equations!AB40&gt;0,"D")))))</f>
        <v>D</v>
      </c>
      <c r="AC40" s="49" t="str">
        <f>IF(score_n_equations!AC40="NULL","NULL",IF(score_n_equations!AC40&gt;=4.5,"A",IF(score_n_equations!AC40&gt;=3.5,"B",IF(score_n_equations!AC40&gt;=2.5,"C",IF(score_n_equations!AC40&gt;0,"D")))))</f>
        <v>C</v>
      </c>
      <c r="AD40" s="53" t="str">
        <f>IF(score_n_equations!AD40="NULL","NULL",IF(score_n_equations!AD40&gt;=4.5,"A",IF(score_n_equations!AD40&gt;=3.5,"B",IF(score_n_equations!AD40&gt;=2.5,"C",IF(score_n_equations!AD40&gt;0,"D")))))</f>
        <v>C</v>
      </c>
      <c r="AE40" s="53" t="str">
        <f>IF(score_n_equations!AE40="NULL","NULL",IF(score_n_equations!AE40&gt;=4.5,"A",IF(score_n_equations!AE40&gt;=3.5,"B",IF(score_n_equations!AE40&gt;=2.5,"C",IF(score_n_equations!AE40&gt;0,"D")))))</f>
        <v>D</v>
      </c>
    </row>
    <row r="41" spans="1:31" x14ac:dyDescent="0.25">
      <c r="A41" s="33">
        <v>1964</v>
      </c>
      <c r="B41" s="30" t="s">
        <v>66</v>
      </c>
      <c r="C41" s="30" t="s">
        <v>66</v>
      </c>
      <c r="D41" s="36" t="str">
        <f>IF(score_n_equations!D41="NULL","NULL",IF(score_n_equations!D41&gt;=4.5,"A",IF(score_n_equations!D41&gt;=3.5,"B",IF(score_n_equations!D41&gt;=2.5,"C",IF(score_n_equations!D41&gt;0,"D")))))</f>
        <v>D</v>
      </c>
      <c r="E41" s="30" t="s">
        <v>47</v>
      </c>
      <c r="F41" s="30" t="s">
        <v>46</v>
      </c>
      <c r="G41" s="30" t="s">
        <v>46</v>
      </c>
      <c r="H41" s="30" t="s">
        <v>46</v>
      </c>
      <c r="I41" s="36" t="str">
        <f>IF(score_n_equations!I41="NULL","NULL",IF(score_n_equations!I41&gt;=4.5,"A",IF(score_n_equations!I41&gt;=3.5,"B",IF(score_n_equations!I41&gt;=2.5,"C",IF(score_n_equations!I41&gt;0,"D")))))</f>
        <v>C</v>
      </c>
      <c r="J41" s="30" t="s">
        <v>66</v>
      </c>
      <c r="K41" s="30" t="s">
        <v>46</v>
      </c>
      <c r="L41" s="30" t="s">
        <v>66</v>
      </c>
      <c r="M41" s="30" t="s">
        <v>48</v>
      </c>
      <c r="N41" s="30" t="s">
        <v>47</v>
      </c>
      <c r="O41" s="30" t="s">
        <v>48</v>
      </c>
      <c r="P41" s="36" t="str">
        <f>IF(score_n_equations!P41="NULL","NULL",IF(score_n_equations!P41&gt;=4.5,"A",IF(score_n_equations!P41&gt;=3.5,"B",IF(score_n_equations!P41&gt;=2.5,"C",IF(score_n_equations!P41&gt;0,"D")))))</f>
        <v>C</v>
      </c>
      <c r="Q41" s="30" t="s">
        <v>48</v>
      </c>
      <c r="R41" s="30" t="s">
        <v>46</v>
      </c>
      <c r="S41" s="30" t="s">
        <v>48</v>
      </c>
      <c r="T41" s="36" t="str">
        <f>IF(score_n_equations!T41="NULL","NULL",IF(score_n_equations!T41&gt;=4.5,"A",IF(score_n_equations!T41&gt;=3.5,"B",IF(score_n_equations!T41&gt;=2.5,"C",IF(score_n_equations!T41&gt;0,"D")))))</f>
        <v>B</v>
      </c>
      <c r="U41" s="30" t="s">
        <v>47</v>
      </c>
      <c r="V41" s="30" t="s">
        <v>47</v>
      </c>
      <c r="W41" s="30" t="s">
        <v>47</v>
      </c>
      <c r="X41" s="36" t="str">
        <f>IF(score_n_equations!X41="NULL","NULL",IF(score_n_equations!X41&gt;=4.5,"A",IF(score_n_equations!X41&gt;=3.5,"B",IF(score_n_equations!X41&gt;=2.5,"C",IF(score_n_equations!X41&gt;0,"D")))))</f>
        <v>B</v>
      </c>
      <c r="Y41" s="30" t="s">
        <v>46</v>
      </c>
      <c r="Z41" s="30" t="s">
        <v>66</v>
      </c>
      <c r="AA41" s="36" t="str">
        <f>IF(score_n_equations!AA41="NULL","NULL",IF(score_n_equations!AA41&gt;=4.5,"A",IF(score_n_equations!AA41&gt;=3.5,"B",IF(score_n_equations!AA41&gt;=2.5,"C",IF(score_n_equations!AA41&gt;0,"D")))))</f>
        <v>D</v>
      </c>
      <c r="AB41" s="49" t="str">
        <f>IF(score_n_equations!AB41="NULL","NULL",IF(score_n_equations!AB41&gt;=4.5,"A",IF(score_n_equations!AB41&gt;=3.5,"B",IF(score_n_equations!AB41&gt;=2.5,"C",IF(score_n_equations!AB41&gt;0,"D")))))</f>
        <v>D</v>
      </c>
      <c r="AC41" s="49" t="str">
        <f>IF(score_n_equations!AC41="NULL","NULL",IF(score_n_equations!AC41&gt;=4.5,"A",IF(score_n_equations!AC41&gt;=3.5,"B",IF(score_n_equations!AC41&gt;=2.5,"C",IF(score_n_equations!AC41&gt;0,"D")))))</f>
        <v>B</v>
      </c>
      <c r="AD41" s="53" t="str">
        <f>IF(score_n_equations!AD41="NULL","NULL",IF(score_n_equations!AD41&gt;=4.5,"A",IF(score_n_equations!AD41&gt;=3.5,"B",IF(score_n_equations!AD41&gt;=2.5,"C",IF(score_n_equations!AD41&gt;0,"D")))))</f>
        <v>C</v>
      </c>
      <c r="AE41" s="53" t="str">
        <f>IF(score_n_equations!AE41="NULL","NULL",IF(score_n_equations!AE41&gt;=4.5,"A",IF(score_n_equations!AE41&gt;=3.5,"B",IF(score_n_equations!AE41&gt;=2.5,"C",IF(score_n_equations!AE41&gt;0,"D")))))</f>
        <v>C</v>
      </c>
    </row>
    <row r="42" spans="1:31" x14ac:dyDescent="0.25">
      <c r="A42" s="33">
        <v>1965</v>
      </c>
      <c r="B42" s="30" t="s">
        <v>48</v>
      </c>
      <c r="C42" s="30" t="s">
        <v>48</v>
      </c>
      <c r="D42" s="36" t="str">
        <f>IF(score_n_equations!D42="NULL","NULL",IF(score_n_equations!D42&gt;=4.5,"A",IF(score_n_equations!D42&gt;=3.5,"B",IF(score_n_equations!D42&gt;=2.5,"C",IF(score_n_equations!D42&gt;0,"D")))))</f>
        <v>A</v>
      </c>
      <c r="E42" s="30" t="s">
        <v>48</v>
      </c>
      <c r="F42" s="30" t="s">
        <v>48</v>
      </c>
      <c r="G42" s="30" t="s">
        <v>47</v>
      </c>
      <c r="H42" s="30" t="s">
        <v>48</v>
      </c>
      <c r="I42" s="36" t="str">
        <f>IF(score_n_equations!I42="NULL","NULL",IF(score_n_equations!I42&gt;=4.5,"A",IF(score_n_equations!I42&gt;=3.5,"B",IF(score_n_equations!I42&gt;=2.5,"C",IF(score_n_equations!I42&gt;0,"D")))))</f>
        <v>A</v>
      </c>
      <c r="J42" s="30" t="s">
        <v>46</v>
      </c>
      <c r="K42" s="30" t="s">
        <v>46</v>
      </c>
      <c r="L42" s="30" t="s">
        <v>48</v>
      </c>
      <c r="M42" s="30" t="s">
        <v>48</v>
      </c>
      <c r="N42" s="30" t="s">
        <v>65</v>
      </c>
      <c r="O42" s="30" t="s">
        <v>65</v>
      </c>
      <c r="P42" s="36" t="str">
        <f>IF(score_n_equations!P42="NULL","NULL",IF(score_n_equations!P42&gt;=4.5,"A",IF(score_n_equations!P42&gt;=3.5,"B",IF(score_n_equations!P42&gt;=2.5,"C",IF(score_n_equations!P42&gt;0,"D")))))</f>
        <v>B</v>
      </c>
      <c r="Q42" s="30" t="s">
        <v>48</v>
      </c>
      <c r="R42" s="30" t="s">
        <v>48</v>
      </c>
      <c r="S42" s="30" t="s">
        <v>48</v>
      </c>
      <c r="T42" s="36" t="str">
        <f>IF(score_n_equations!T42="NULL","NULL",IF(score_n_equations!T42&gt;=4.5,"A",IF(score_n_equations!T42&gt;=3.5,"B",IF(score_n_equations!T42&gt;=2.5,"C",IF(score_n_equations!T42&gt;0,"D")))))</f>
        <v>A</v>
      </c>
      <c r="U42" s="30" t="s">
        <v>48</v>
      </c>
      <c r="V42" s="30" t="s">
        <v>65</v>
      </c>
      <c r="W42" s="30" t="s">
        <v>65</v>
      </c>
      <c r="X42" s="36" t="str">
        <f>IF(score_n_equations!X42="NULL","NULL",IF(score_n_equations!X42&gt;=4.5,"A",IF(score_n_equations!X42&gt;=3.5,"B",IF(score_n_equations!X42&gt;=2.5,"C",IF(score_n_equations!X42&gt;0,"D")))))</f>
        <v>A</v>
      </c>
      <c r="Y42" s="30" t="s">
        <v>65</v>
      </c>
      <c r="Z42" s="30" t="s">
        <v>65</v>
      </c>
      <c r="AA42" s="36" t="str">
        <f>IF(score_n_equations!AA42="NULL","NULL",IF(score_n_equations!AA42&gt;=4.5,"A",IF(score_n_equations!AA42&gt;=3.5,"B",IF(score_n_equations!AA42&gt;=2.5,"C",IF(score_n_equations!AA42&gt;0,"D")))))</f>
        <v>NULL</v>
      </c>
      <c r="AB42" s="49" t="str">
        <f>IF(score_n_equations!AB42="NULL","NULL",IF(score_n_equations!AB42&gt;=4.5,"A",IF(score_n_equations!AB42&gt;=3.5,"B",IF(score_n_equations!AB42&gt;=2.5,"C",IF(score_n_equations!AB42&gt;0,"D")))))</f>
        <v>A</v>
      </c>
      <c r="AC42" s="49" t="str">
        <f>IF(score_n_equations!AC42="NULL","NULL",IF(score_n_equations!AC42&gt;=4.5,"A",IF(score_n_equations!AC42&gt;=3.5,"B",IF(score_n_equations!AC42&gt;=2.5,"C",IF(score_n_equations!AC42&gt;0,"D")))))</f>
        <v>B</v>
      </c>
      <c r="AD42" s="53" t="str">
        <f>IF(score_n_equations!AD42="NULL","NULL",IF(score_n_equations!AD42&gt;=4.5,"A",IF(score_n_equations!AD42&gt;=3.5,"B",IF(score_n_equations!AD42&gt;=2.5,"C",IF(score_n_equations!AD42&gt;0,"D")))))</f>
        <v>A</v>
      </c>
      <c r="AE42" s="53" t="str">
        <f>IF(score_n_equations!AE42="NULL","NULL",IF(score_n_equations!AE42&gt;=4.5,"A",IF(score_n_equations!AE42&gt;=3.5,"B",IF(score_n_equations!AE42&gt;=2.5,"C",IF(score_n_equations!AE42&gt;0,"D")))))</f>
        <v>A</v>
      </c>
    </row>
    <row r="43" spans="1:31" x14ac:dyDescent="0.25">
      <c r="A43" s="33">
        <v>1966</v>
      </c>
      <c r="B43" s="30" t="s">
        <v>46</v>
      </c>
      <c r="C43" s="30" t="s">
        <v>46</v>
      </c>
      <c r="D43" s="36" t="str">
        <f>IF(score_n_equations!D43="NULL","NULL",IF(score_n_equations!D43&gt;=4.5,"A",IF(score_n_equations!D43&gt;=3.5,"B",IF(score_n_equations!D43&gt;=2.5,"C",IF(score_n_equations!D43&gt;0,"D")))))</f>
        <v>C</v>
      </c>
      <c r="E43" s="30" t="s">
        <v>47</v>
      </c>
      <c r="F43" s="59" t="s">
        <v>48</v>
      </c>
      <c r="G43" s="30" t="s">
        <v>47</v>
      </c>
      <c r="H43" s="30" t="s">
        <v>47</v>
      </c>
      <c r="I43" s="36" t="str">
        <f>IF(score_n_equations!I43="NULL","NULL",IF(score_n_equations!I43&gt;=4.5,"A",IF(score_n_equations!I43&gt;=3.5,"B",IF(score_n_equations!I43&gt;=2.5,"C",IF(score_n_equations!I43&gt;0,"D")))))</f>
        <v>B</v>
      </c>
      <c r="J43" s="30" t="s">
        <v>49</v>
      </c>
      <c r="K43" s="30" t="s">
        <v>47</v>
      </c>
      <c r="L43" s="30" t="s">
        <v>46</v>
      </c>
      <c r="M43" s="30" t="s">
        <v>48</v>
      </c>
      <c r="N43" s="30" t="s">
        <v>65</v>
      </c>
      <c r="O43" s="30" t="s">
        <v>65</v>
      </c>
      <c r="P43" s="36" t="str">
        <f>IF(score_n_equations!P43="NULL","NULL",IF(score_n_equations!P43&gt;=4.5,"A",IF(score_n_equations!P43&gt;=3.5,"B",IF(score_n_equations!P43&gt;=2.5,"C",IF(score_n_equations!P43&gt;0,"D")))))</f>
        <v>B</v>
      </c>
      <c r="Q43" s="30" t="s">
        <v>48</v>
      </c>
      <c r="R43" s="30" t="s">
        <v>47</v>
      </c>
      <c r="S43" s="30" t="s">
        <v>48</v>
      </c>
      <c r="T43" s="36" t="str">
        <f>IF(score_n_equations!T43="NULL","NULL",IF(score_n_equations!T43&gt;=4.5,"A",IF(score_n_equations!T43&gt;=3.5,"B",IF(score_n_equations!T43&gt;=2.5,"C",IF(score_n_equations!T43&gt;0,"D")))))</f>
        <v>A</v>
      </c>
      <c r="U43" s="30" t="s">
        <v>46</v>
      </c>
      <c r="V43" s="30" t="s">
        <v>65</v>
      </c>
      <c r="W43" s="30" t="s">
        <v>65</v>
      </c>
      <c r="X43" s="36" t="str">
        <f>IF(score_n_equations!X43="NULL","NULL",IF(score_n_equations!X43&gt;=4.5,"A",IF(score_n_equations!X43&gt;=3.5,"B",IF(score_n_equations!X43&gt;=2.5,"C",IF(score_n_equations!X43&gt;0,"D")))))</f>
        <v>C</v>
      </c>
      <c r="Y43" s="30" t="s">
        <v>47</v>
      </c>
      <c r="Z43" s="30" t="s">
        <v>47</v>
      </c>
      <c r="AA43" s="36" t="str">
        <f>IF(score_n_equations!AA43="NULL","NULL",IF(score_n_equations!AA43&gt;=4.5,"A",IF(score_n_equations!AA43&gt;=3.5,"B",IF(score_n_equations!AA43&gt;=2.5,"C",IF(score_n_equations!AA43&gt;0,"D")))))</f>
        <v>B</v>
      </c>
      <c r="AB43" s="49" t="str">
        <f>IF(score_n_equations!AB43="NULL","NULL",IF(score_n_equations!AB43&gt;=4.5,"A",IF(score_n_equations!AB43&gt;=3.5,"B",IF(score_n_equations!AB43&gt;=2.5,"C",IF(score_n_equations!AB43&gt;0,"D")))))</f>
        <v>B</v>
      </c>
      <c r="AC43" s="49" t="str">
        <f>IF(score_n_equations!AC43="NULL","NULL",IF(score_n_equations!AC43&gt;=4.5,"A",IF(score_n_equations!AC43&gt;=3.5,"B",IF(score_n_equations!AC43&gt;=2.5,"C",IF(score_n_equations!AC43&gt;0,"D")))))</f>
        <v>B</v>
      </c>
      <c r="AD43" s="53" t="str">
        <f>IF(score_n_equations!AD43="NULL","NULL",IF(score_n_equations!AD43&gt;=4.5,"A",IF(score_n_equations!AD43&gt;=3.5,"B",IF(score_n_equations!AD43&gt;=2.5,"C",IF(score_n_equations!AD43&gt;0,"D")))))</f>
        <v>B</v>
      </c>
      <c r="AE43" s="53" t="str">
        <f>IF(score_n_equations!AE43="NULL","NULL",IF(score_n_equations!AE43&gt;=4.5,"A",IF(score_n_equations!AE43&gt;=3.5,"B",IF(score_n_equations!AE43&gt;=2.5,"C",IF(score_n_equations!AE43&gt;0,"D")))))</f>
        <v>B</v>
      </c>
    </row>
    <row r="46" spans="1:31" x14ac:dyDescent="0.25">
      <c r="A46" s="62"/>
    </row>
    <row r="47" spans="1:31" x14ac:dyDescent="0.25">
      <c r="A47" s="59"/>
    </row>
    <row r="48" spans="1:31" x14ac:dyDescent="0.25">
      <c r="A48" s="60"/>
    </row>
  </sheetData>
  <sheetProtection algorithmName="SHA-512" hashValue="jW9W9uuWY61K4PB5qAeS3RHHfXwXCbTjTfLOWNOhJAMvO9Wp8vHBbtPda7n0KC3SLWi7Pgu5zaTcQ19ADsg42w==" saltValue="++RBHFCpbhSCUx/jIUDaYw==" spinCount="100000" sheet="1" objects="1" scenarios="1" formatCells="0" formatColumns="0" sort="0" pivotTables="0"/>
  <autoFilter ref="A2:AE43" xr:uid="{AC85F811-E33D-485D-BE51-110DA7D43E55}">
    <sortState xmlns:xlrd2="http://schemas.microsoft.com/office/spreadsheetml/2017/richdata2" ref="A3:AE43">
      <sortCondition ref="A2:A43"/>
    </sortState>
  </autoFilter>
  <mergeCells count="7">
    <mergeCell ref="Y1:AA1"/>
    <mergeCell ref="U1:X1"/>
    <mergeCell ref="AD1:AE1"/>
    <mergeCell ref="E1:I1"/>
    <mergeCell ref="B1:D1"/>
    <mergeCell ref="J1:P1"/>
    <mergeCell ref="Q1:T1"/>
  </mergeCells>
  <pageMargins left="0.7" right="0.7" top="0.75" bottom="0.75" header="0.3" footer="0.3"/>
  <pageSetup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997E5B-BFE8-4C77-85CE-391FD34572CC}">
  <dimension ref="A1:AH43"/>
  <sheetViews>
    <sheetView topLeftCell="E1" zoomScale="110" zoomScaleNormal="110" workbookViewId="0">
      <pane ySplit="2" topLeftCell="A24" activePane="bottomLeft" state="frozen"/>
      <selection activeCell="B2" sqref="B1:B1048576"/>
      <selection pane="bottomLeft" activeCell="S51" sqref="S51"/>
    </sheetView>
  </sheetViews>
  <sheetFormatPr defaultRowHeight="15" x14ac:dyDescent="0.25"/>
  <cols>
    <col min="1" max="1" width="8.28515625" customWidth="1"/>
    <col min="2" max="2" width="7.5703125" customWidth="1"/>
    <col min="3" max="3" width="8.28515625" customWidth="1"/>
    <col min="4" max="4" width="7.42578125" customWidth="1"/>
    <col min="5" max="5" width="6" customWidth="1"/>
    <col min="6" max="6" width="6.28515625" customWidth="1"/>
    <col min="7" max="7" width="5.28515625" customWidth="1"/>
    <col min="8" max="8" width="6.7109375" customWidth="1"/>
    <col min="9" max="9" width="7.7109375" bestFit="1" customWidth="1"/>
    <col min="10" max="10" width="9.140625" customWidth="1"/>
    <col min="11" max="11" width="5.140625" customWidth="1"/>
    <col min="12" max="13" width="5.85546875" customWidth="1"/>
    <col min="14" max="14" width="5" customWidth="1"/>
    <col min="15" max="16" width="7.28515625" customWidth="1"/>
    <col min="17" max="17" width="7.42578125" customWidth="1"/>
    <col min="18" max="18" width="6.42578125" customWidth="1"/>
    <col min="19" max="19" width="5.7109375" customWidth="1"/>
    <col min="20" max="20" width="7" customWidth="1"/>
    <col min="21" max="24" width="7.28515625" customWidth="1"/>
    <col min="25" max="25" width="5.7109375" customWidth="1"/>
    <col min="26" max="26" width="5.5703125" customWidth="1"/>
    <col min="27" max="27" width="6.7109375" customWidth="1"/>
    <col min="28" max="28" width="18.85546875" style="48" customWidth="1"/>
    <col min="29" max="29" width="11.140625" customWidth="1"/>
    <col min="30" max="30" width="10.85546875" customWidth="1"/>
    <col min="31" max="31" width="14" style="48" customWidth="1"/>
    <col min="32" max="32" width="5.28515625" customWidth="1"/>
  </cols>
  <sheetData>
    <row r="1" spans="1:34" ht="15.75" x14ac:dyDescent="0.25">
      <c r="A1" s="30"/>
      <c r="B1" s="66" t="s">
        <v>51</v>
      </c>
      <c r="C1" s="67"/>
      <c r="D1" s="68"/>
      <c r="E1" s="66" t="s">
        <v>52</v>
      </c>
      <c r="F1" s="67"/>
      <c r="G1" s="67"/>
      <c r="H1" s="67"/>
      <c r="I1" s="68"/>
      <c r="J1" s="69" t="s">
        <v>70</v>
      </c>
      <c r="K1" s="70"/>
      <c r="L1" s="70"/>
      <c r="M1" s="70"/>
      <c r="N1" s="70"/>
      <c r="O1" s="70"/>
      <c r="P1" s="71"/>
      <c r="Q1" s="72" t="s">
        <v>54</v>
      </c>
      <c r="R1" s="73"/>
      <c r="S1" s="73"/>
      <c r="T1" s="74"/>
      <c r="U1" s="72" t="s">
        <v>57</v>
      </c>
      <c r="V1" s="73"/>
      <c r="W1" s="73"/>
      <c r="X1" s="74"/>
      <c r="Y1" s="63" t="s">
        <v>55</v>
      </c>
      <c r="Z1" s="64"/>
      <c r="AA1" s="65"/>
      <c r="AB1" s="47"/>
      <c r="AC1" s="43"/>
      <c r="AD1" s="46" t="s">
        <v>62</v>
      </c>
      <c r="AE1" s="52"/>
    </row>
    <row r="2" spans="1:34" ht="20.25" customHeight="1" x14ac:dyDescent="0.25">
      <c r="A2" s="31" t="s">
        <v>56</v>
      </c>
      <c r="B2" s="31" t="s">
        <v>18</v>
      </c>
      <c r="C2" s="31" t="s">
        <v>19</v>
      </c>
      <c r="D2" s="34" t="s">
        <v>63</v>
      </c>
      <c r="E2" s="31" t="s">
        <v>21</v>
      </c>
      <c r="F2" s="31" t="s">
        <v>23</v>
      </c>
      <c r="G2" s="31" t="s">
        <v>24</v>
      </c>
      <c r="H2" s="31" t="s">
        <v>25</v>
      </c>
      <c r="I2" s="34" t="s">
        <v>63</v>
      </c>
      <c r="J2" s="31" t="s">
        <v>28</v>
      </c>
      <c r="K2" s="31" t="s">
        <v>29</v>
      </c>
      <c r="L2" s="31" t="s">
        <v>30</v>
      </c>
      <c r="M2" s="31" t="s">
        <v>31</v>
      </c>
      <c r="N2" s="31" t="s">
        <v>32</v>
      </c>
      <c r="O2" s="31" t="s">
        <v>58</v>
      </c>
      <c r="P2" s="34" t="s">
        <v>63</v>
      </c>
      <c r="Q2" s="31" t="s">
        <v>35</v>
      </c>
      <c r="R2" s="31" t="s">
        <v>36</v>
      </c>
      <c r="S2" s="31" t="s">
        <v>37</v>
      </c>
      <c r="T2" s="34" t="s">
        <v>63</v>
      </c>
      <c r="U2" s="31" t="s">
        <v>39</v>
      </c>
      <c r="V2" s="31" t="s">
        <v>40</v>
      </c>
      <c r="W2" s="31" t="s">
        <v>41</v>
      </c>
      <c r="X2" s="34" t="s">
        <v>63</v>
      </c>
      <c r="Y2" s="31" t="s">
        <v>44</v>
      </c>
      <c r="Z2" s="32" t="s">
        <v>45</v>
      </c>
      <c r="AA2" s="35" t="s">
        <v>63</v>
      </c>
      <c r="AB2" s="50" t="s">
        <v>60</v>
      </c>
      <c r="AC2" s="50" t="s">
        <v>71</v>
      </c>
      <c r="AD2" s="51" t="s">
        <v>72</v>
      </c>
      <c r="AE2" s="54" t="s">
        <v>59</v>
      </c>
      <c r="AF2" s="39" t="s">
        <v>69</v>
      </c>
    </row>
    <row r="3" spans="1:34" x14ac:dyDescent="0.25">
      <c r="A3" s="33">
        <v>515</v>
      </c>
      <c r="B3" s="40">
        <f>IF(score_l_equations!B3="A",5,IF(score_l_equations!B3="B",4,IF(score_l_equations!B3="C",3,IF(score_l_equations!B3="D",1,"NULL"))))</f>
        <v>5</v>
      </c>
      <c r="C3" s="40">
        <f>IF(score_l_equations!C3="A",5,IF(score_l_equations!C3="B",4,IF(score_l_equations!C3="C",3,IF(score_l_equations!C3="D",1,"NULL"))))</f>
        <v>5</v>
      </c>
      <c r="D3" s="45">
        <f>IF(B3="Null","NULL",AVERAGE(B3:C3))</f>
        <v>5</v>
      </c>
      <c r="E3" s="40">
        <f>IF(score_l_equations!E3="A",5,IF(score_l_equations!E3="B",4,IF(score_l_equations!E3="C",3,IF(score_l_equations!E3="D",1,"NULL"))))</f>
        <v>5</v>
      </c>
      <c r="F3" s="40">
        <f>IF(score_l_equations!F3="A",5,IF(score_l_equations!F3="B",4,IF(score_l_equations!F3="C",3,IF(score_l_equations!F3="D",1,"NULL"))))</f>
        <v>5</v>
      </c>
      <c r="G3" s="40">
        <f>IF(score_l_equations!G3="A",5,IF(score_l_equations!G3="B",4,IF(score_l_equations!G3="C",3,IF(score_l_equations!G3="D",1,"NULL"))))</f>
        <v>4</v>
      </c>
      <c r="H3" s="40">
        <f>IF(score_l_equations!H3="A",5,IF(score_l_equations!H3="B",4,IF(score_l_equations!H3="C",3,IF(score_l_equations!H3="D",1,"NULL"))))</f>
        <v>4</v>
      </c>
      <c r="I3" s="44">
        <f t="shared" ref="I3:I7" si="0">IF(E3="Null","NULL",(SQRT(SQRT(E3*F3)*(AVERAGE(G3:H3)))))</f>
        <v>4.4721359549995796</v>
      </c>
      <c r="J3" s="40">
        <f>IF(score_l_equations!J3="A",5,IF(score_l_equations!J3="B",4,IF(score_l_equations!J3="C",3,IF(score_l_equations!J3="C-",2,IF(score_l_equations!J3="D",1,"NULL")))))</f>
        <v>3</v>
      </c>
      <c r="K3" s="40">
        <f>IF(score_l_equations!K3="A",5,IF(score_l_equations!K3="B",4,IF(score_l_equations!K3="B",4,IF(score_l_equations!K3="C",3,IF(score_l_equations!K3="C-",2,IF(score_l_equations!K3="D",1,"NULL"))))))</f>
        <v>4</v>
      </c>
      <c r="L3" s="40">
        <f>IF(score_l_equations!L3="A",5,IF(score_l_equations!L3="B",4,IF(score_l_equations!L3="B",4,IF(score_l_equations!L3="C",3,IF(score_l_equations!L3="C-",2,IF(score_l_equations!L3="D",1,"NULL"))))))</f>
        <v>5</v>
      </c>
      <c r="M3" s="40">
        <f>IF(score_l_equations!M3="A",5,IF(score_l_equations!M3="B",4,IF(score_l_equations!M3="B",4,IF(score_l_equations!M3="C",3,IF(score_l_equations!M3="C-",2,IF(score_l_equations!M3="D",1,"NULL"))))))</f>
        <v>5</v>
      </c>
      <c r="N3" s="40" t="str">
        <f>IF(score_l_equations!N3="A",5,IF(score_l_equations!N3="B",4,IF(score_l_equations!N3="B",4,IF(score_l_equations!N3="C",3,IF(score_l_equations!N3="C-",2,IF(score_l_equations!N3="D",1,"NULL"))))))</f>
        <v>NULL</v>
      </c>
      <c r="O3" s="40" t="str">
        <f>IF(score_l_equations!O3="A",5,IF(score_l_equations!O3="B",4,IF(score_l_equations!O3="B",4,IF(score_l_equations!O3="C",3,IF(score_l_equations!O3="C-",2,IF(score_l_equations!O3="D",1,"NULL"))))))</f>
        <v>NULL</v>
      </c>
      <c r="P3" s="44">
        <f>IF(J3="Null","NULL",AVERAGE(J3:O3))</f>
        <v>4.25</v>
      </c>
      <c r="Q3" s="40">
        <f>IF(score_l_equations!Q3="A",5,IF(score_l_equations!Q3="B",4,IF(score_l_equations!Q3="C",3,IF(score_l_equations!Q3="D",1,"NULL"))))</f>
        <v>5</v>
      </c>
      <c r="R3" s="40">
        <f>IF(score_l_equations!R3="A",5,IF(score_l_equations!R3="B",4,IF(score_l_equations!R3="C",3,IF(score_l_equations!R3="D",1,"NULL"))))</f>
        <v>5</v>
      </c>
      <c r="S3" s="40">
        <f>IF(score_l_equations!S3="A",5,IF(score_l_equations!S3="B",4,IF(score_l_equations!S3="C",3,IF(score_l_equations!S3="D",1,"NULL"))))</f>
        <v>5</v>
      </c>
      <c r="T3" s="44">
        <f>IF(Q3="Null","NULL",AVERAGE(Q3:S3))</f>
        <v>5</v>
      </c>
      <c r="U3" s="40">
        <f>IF(score_l_equations!U3="A",5,IF(score_l_equations!U3="B",4,IF(score_l_equations!U3="C",3,IF(score_l_equations!U3="D",1,"NULL"))))</f>
        <v>4</v>
      </c>
      <c r="V3" s="40">
        <f>IF(score_l_equations!V3="A",5,IF(score_l_equations!V3="B",4,IF(score_l_equations!V3="C",3,IF(score_l_equations!V3="D",1,"NULL"))))</f>
        <v>5</v>
      </c>
      <c r="W3" s="40">
        <f>IF(score_l_equations!W3="A",5,IF(score_l_equations!W3="B",4,IF(score_l_equations!W3="C",3,IF(score_l_equations!W3="D",1,"NULL"))))</f>
        <v>5</v>
      </c>
      <c r="X3" s="45">
        <f>IF(U3="Null","NULL",AVERAGE(U3:W3))</f>
        <v>4.666666666666667</v>
      </c>
      <c r="Y3" s="40">
        <f>IF(score_l_equations!Y3="A",5,IF(score_l_equations!Y3="B",4,IF(score_l_equations!Y3="C",3,IF(score_l_equations!Y3="D",1,"NULL"))))</f>
        <v>4</v>
      </c>
      <c r="Z3" s="40">
        <f>IF(score_l_equations!Z3="A",5,IF(score_l_equations!Z3="B",4,IF(score_l_equations!Z3="C",3,IF(score_l_equations!Z3="D",1,"NULL"))))</f>
        <v>5</v>
      </c>
      <c r="AA3" s="58">
        <f>IF(Y3="Null","NULL",AVERAGE(Y3:Z3))</f>
        <v>4.5</v>
      </c>
      <c r="AB3" s="49">
        <f>(D3*0.33)+(I3*0.67)</f>
        <v>4.6463310898497188</v>
      </c>
      <c r="AC3" s="49">
        <f>(P3*0.55)+(T3*0.35)+(X3*0.1)</f>
        <v>4.5541666666666671</v>
      </c>
      <c r="AD3" s="53">
        <f>(AB3*0.3)+(AC3*0.7)</f>
        <v>4.5818159936215821</v>
      </c>
      <c r="AE3" s="53">
        <f>AD3+AF3</f>
        <v>5.0818159936215821</v>
      </c>
      <c r="AF3">
        <f>IF(AA3&lt;1.5,-0.5,IF(AA3&lt;2.5,-0.25,IF(AA3&lt;3.5,0.25,0.5)))</f>
        <v>0.5</v>
      </c>
      <c r="AH3">
        <f>SUM(P3,T3,X3)/3</f>
        <v>4.6388888888888893</v>
      </c>
    </row>
    <row r="4" spans="1:34" x14ac:dyDescent="0.25">
      <c r="A4" s="33">
        <v>603</v>
      </c>
      <c r="B4" s="40">
        <f>IF(score_l_equations!B4="A",5,IF(score_l_equations!B4="B",4,IF(score_l_equations!B4="C",3,IF(score_l_equations!B4="D",1,"NULL"))))</f>
        <v>5</v>
      </c>
      <c r="C4" s="40">
        <f>IF(score_l_equations!C4="A",5,IF(score_l_equations!C4="B",4,IF(score_l_equations!C4="C",3,IF(score_l_equations!C4="D",1,"NULL"))))</f>
        <v>5</v>
      </c>
      <c r="D4" s="45">
        <f t="shared" ref="D4:D43" si="1">IF(B4="Null","NULL",AVERAGE(B4:C4))</f>
        <v>5</v>
      </c>
      <c r="E4" s="40">
        <f>IF(score_l_equations!E4="A",5,IF(score_l_equations!E4="B",4,IF(score_l_equations!E4="C",3,IF(score_l_equations!E4="D",1,"NULL"))))</f>
        <v>5</v>
      </c>
      <c r="F4" s="40">
        <f>IF(score_l_equations!F4="A",5,IF(score_l_equations!F4="B",4,IF(score_l_equations!F4="C",3,IF(score_l_equations!F4="D",1,"NULL"))))</f>
        <v>5</v>
      </c>
      <c r="G4" s="40">
        <f>IF(score_l_equations!G4="A",5,IF(score_l_equations!G4="B",4,IF(score_l_equations!G4="C",3,IF(score_l_equations!G4="D",1,"NULL"))))</f>
        <v>4</v>
      </c>
      <c r="H4" s="40">
        <f>IF(score_l_equations!H4="A",5,IF(score_l_equations!H4="B",4,IF(score_l_equations!H4="C",3,IF(score_l_equations!H4="D",1,"NULL"))))</f>
        <v>4</v>
      </c>
      <c r="I4" s="44">
        <f t="shared" si="0"/>
        <v>4.4721359549995796</v>
      </c>
      <c r="J4" s="40">
        <f>IF(score_l_equations!J4="A",5,IF(score_l_equations!J4="B",4,IF(score_l_equations!J4="B",4,IF(score_l_equations!J4="C",3,IF(score_l_equations!J4="C-",2,IF(score_l_equations!J4="D",1,"NULL"))))))</f>
        <v>2</v>
      </c>
      <c r="K4" s="40">
        <f>IF(score_l_equations!K4="A",5,IF(score_l_equations!K4="B",4,IF(score_l_equations!K4="B",4,IF(score_l_equations!K4="C",3,IF(score_l_equations!K4="C-",2,IF(score_l_equations!K4="D",1,"NULL"))))))</f>
        <v>4</v>
      </c>
      <c r="L4" s="40">
        <f>IF(score_l_equations!L4="A",5,IF(score_l_equations!L4="B",4,IF(score_l_equations!L4="B",4,IF(score_l_equations!L4="C",3,IF(score_l_equations!L4="C-",2,IF(score_l_equations!L4="D",1,"NULL"))))))</f>
        <v>3</v>
      </c>
      <c r="M4" s="40">
        <f>IF(score_l_equations!M4="A",5,IF(score_l_equations!M4="B",4,IF(score_l_equations!M4="B",4,IF(score_l_equations!M4="C",3,IF(score_l_equations!M4="C-",2,IF(score_l_equations!M4="D",1,"NULL"))))))</f>
        <v>5</v>
      </c>
      <c r="N4" s="40" t="str">
        <f>IF(score_l_equations!N4="A",5,IF(score_l_equations!N4="B",4,IF(score_l_equations!N4="B",4,IF(score_l_equations!N4="C",3,IF(score_l_equations!N4="C-",2,IF(score_l_equations!N4="D",1,"NULL"))))))</f>
        <v>NULL</v>
      </c>
      <c r="O4" s="40" t="str">
        <f>IF(score_l_equations!O4="A",5,IF(score_l_equations!O4="B",4,IF(score_l_equations!O4="B",4,IF(score_l_equations!O4="C",3,IF(score_l_equations!O4="C-",2,IF(score_l_equations!O4="D",1,"NULL"))))))</f>
        <v>NULL</v>
      </c>
      <c r="P4" s="44">
        <f t="shared" ref="P4:P43" si="2">IF(J4="Null","NULL",AVERAGE(J4:O4))</f>
        <v>3.5</v>
      </c>
      <c r="Q4" s="40">
        <f>IF(score_l_equations!Q4="A",5,IF(score_l_equations!Q4="B",4,IF(score_l_equations!Q4="C",3,IF(score_l_equations!Q4="D",1,"NULL"))))</f>
        <v>5</v>
      </c>
      <c r="R4" s="40">
        <f>IF(score_l_equations!R4="A",5,IF(score_l_equations!R4="B",4,IF(score_l_equations!R4="C",3,IF(score_l_equations!R4="D",1,"NULL"))))</f>
        <v>5</v>
      </c>
      <c r="S4" s="40">
        <f>IF(score_l_equations!S4="A",5,IF(score_l_equations!S4="B",4,IF(score_l_equations!S4="C",3,IF(score_l_equations!S4="D",1,"NULL"))))</f>
        <v>4</v>
      </c>
      <c r="T4" s="44">
        <f t="shared" ref="T4:T43" si="3">IF(Q4="Null","NULL",AVERAGE(Q4:S4))</f>
        <v>4.666666666666667</v>
      </c>
      <c r="U4" s="40">
        <f>IF(score_l_equations!U4="A",5,IF(score_l_equations!U4="B",4,IF(score_l_equations!U4="C",3,IF(score_l_equations!U4="D",1,"NULL"))))</f>
        <v>3</v>
      </c>
      <c r="V4" s="40" t="str">
        <f>IF(score_l_equations!V4="A",5,IF(score_l_equations!V4="B",4,IF(score_l_equations!V4="C",3,IF(score_l_equations!V4="D",1,"NULL"))))</f>
        <v>NULL</v>
      </c>
      <c r="W4" s="40" t="str">
        <f>IF(score_l_equations!W4="A",5,IF(score_l_equations!W4="B",4,IF(score_l_equations!W4="C",3,IF(score_l_equations!W4="D",1,"NULL"))))</f>
        <v>NULL</v>
      </c>
      <c r="X4" s="45">
        <f t="shared" ref="X4:X43" si="4">IF(U4="Null","NULL",AVERAGE(U4:W4))</f>
        <v>3</v>
      </c>
      <c r="Y4" s="40">
        <f>IF(score_l_equations!Y4="A",5,IF(score_l_equations!Y4="B",4,IF(score_l_equations!Y4="C",3,IF(score_l_equations!Y4="D",1,"NULL"))))</f>
        <v>3</v>
      </c>
      <c r="Z4" s="40">
        <f>IF(score_l_equations!Z4="A",5,IF(score_l_equations!Z4="B",4,IF(score_l_equations!Z4="C",3,IF(score_l_equations!Z4="D",1,"NULL"))))</f>
        <v>5</v>
      </c>
      <c r="AA4" s="58">
        <f t="shared" ref="AA4:AA43" si="5">IF(Y4="Null","NULL",AVERAGE(Y4:Z4))</f>
        <v>4</v>
      </c>
      <c r="AB4" s="49">
        <f t="shared" ref="AB4:AB43" si="6">(D4*0.33)+(I4*0.67)</f>
        <v>4.6463310898497188</v>
      </c>
      <c r="AC4" s="49">
        <f t="shared" ref="AC4:AC43" si="7">(P4*0.55)+(T4*0.35)+(X4*0.1)</f>
        <v>3.8583333333333334</v>
      </c>
      <c r="AD4" s="53">
        <f t="shared" ref="AD4:AD43" si="8">(AB4*0.3)+(AC4*0.7)</f>
        <v>4.0947326602882486</v>
      </c>
      <c r="AE4" s="53">
        <f t="shared" ref="AE4:AE43" si="9">AD4+AF4</f>
        <v>4.5947326602882486</v>
      </c>
      <c r="AF4">
        <f t="shared" ref="AF4:AF43" si="10">IF(AA4&lt;1.5,-0.5,IF(AA4&lt;2.5,-0.25,IF(AA4&lt;3.5,0.25,0.5)))</f>
        <v>0.5</v>
      </c>
    </row>
    <row r="5" spans="1:34" x14ac:dyDescent="0.25">
      <c r="A5" s="33">
        <v>667</v>
      </c>
      <c r="B5" s="40">
        <f>IF(score_l_equations!B5="A",5,IF(score_l_equations!B5="B",4,IF(score_l_equations!B5="C",3,IF(score_l_equations!B5="D",1,"NULL"))))</f>
        <v>1</v>
      </c>
      <c r="C5" s="40">
        <f>IF(score_l_equations!C5="A",5,IF(score_l_equations!C5="B",4,IF(score_l_equations!C5="C",3,IF(score_l_equations!C5="D",1,"NULL"))))</f>
        <v>1</v>
      </c>
      <c r="D5" s="45">
        <f t="shared" si="1"/>
        <v>1</v>
      </c>
      <c r="E5" s="40">
        <f>IF(score_l_equations!E5="A",5,IF(score_l_equations!E5="B",4,IF(score_l_equations!E5="C",3,IF(score_l_equations!E5="D",1,"NULL"))))</f>
        <v>3</v>
      </c>
      <c r="F5" s="40">
        <f>IF(score_l_equations!F5="A",5,IF(score_l_equations!F5="B",4,IF(score_l_equations!F5="C",3,IF(score_l_equations!F5="D",1,"NULL"))))</f>
        <v>3</v>
      </c>
      <c r="G5" s="40">
        <f>IF(score_l_equations!G5="A",5,IF(score_l_equations!G5="B",4,IF(score_l_equations!G5="C",3,IF(score_l_equations!G5="D",1,"NULL"))))</f>
        <v>3</v>
      </c>
      <c r="H5" s="40">
        <f>IF(score_l_equations!H5="A",5,IF(score_l_equations!H5="B",4,IF(score_l_equations!H5="C",3,IF(score_l_equations!H5="D",1,"NULL"))))</f>
        <v>3</v>
      </c>
      <c r="I5" s="44">
        <f t="shared" si="0"/>
        <v>3</v>
      </c>
      <c r="J5" s="40">
        <f>IF(score_l_equations!J5="A",5,IF(score_l_equations!J5="B",4,IF(score_l_equations!J5="B",4,IF(score_l_equations!J5="C",3,IF(score_l_equations!J5="C-",2,IF(score_l_equations!J5="D",1,"NULL"))))))</f>
        <v>1</v>
      </c>
      <c r="K5" s="40">
        <f>IF(score_l_equations!K5="A",5,IF(score_l_equations!K5="B",4,IF(score_l_equations!K5="B",4,IF(score_l_equations!K5="C",3,IF(score_l_equations!K5="C-",2,IF(score_l_equations!K5="D",1,"NULL"))))))</f>
        <v>3</v>
      </c>
      <c r="L5" s="40">
        <f>IF(score_l_equations!L5="A",5,IF(score_l_equations!L5="B",4,IF(score_l_equations!L5="B",4,IF(score_l_equations!L5="C",3,IF(score_l_equations!L5="C-",2,IF(score_l_equations!L5="D",1,"NULL"))))))</f>
        <v>3</v>
      </c>
      <c r="M5" s="40">
        <f>IF(score_l_equations!M5="A",5,IF(score_l_equations!M5="B",4,IF(score_l_equations!M5="B",4,IF(score_l_equations!M5="C",3,IF(score_l_equations!M5="C-",2,IF(score_l_equations!M5="D",1,"NULL"))))))</f>
        <v>4</v>
      </c>
      <c r="N5" s="40">
        <f>IF(score_l_equations!N5="A",5,IF(score_l_equations!N5="B",4,IF(score_l_equations!N5="B",4,IF(score_l_equations!N5="C",3,IF(score_l_equations!N5="C-",2,IF(score_l_equations!N5="D",1,"NULL"))))))</f>
        <v>4</v>
      </c>
      <c r="O5" s="40">
        <f>IF(score_l_equations!O5="A",5,IF(score_l_equations!O5="B",4,IF(score_l_equations!O5="B",4,IF(score_l_equations!O5="C",3,IF(score_l_equations!O5="C-",2,IF(score_l_equations!O5="D",1,"NULL"))))))</f>
        <v>3</v>
      </c>
      <c r="P5" s="44">
        <f t="shared" si="2"/>
        <v>3</v>
      </c>
      <c r="Q5" s="40">
        <f>IF(score_l_equations!Q5="A",5,IF(score_l_equations!Q5="B",4,IF(score_l_equations!Q5="C",3,IF(score_l_equations!Q5="D",1,"NULL"))))</f>
        <v>4</v>
      </c>
      <c r="R5" s="40">
        <f>IF(score_l_equations!R5="A",5,IF(score_l_equations!R5="B",4,IF(score_l_equations!R5="C",3,IF(score_l_equations!R5="D",1,"NULL"))))</f>
        <v>1</v>
      </c>
      <c r="S5" s="40">
        <f>IF(score_l_equations!S5="A",5,IF(score_l_equations!S5="B",4,IF(score_l_equations!S5="C",3,IF(score_l_equations!S5="D",1,"NULL"))))</f>
        <v>3</v>
      </c>
      <c r="T5" s="44">
        <f t="shared" si="3"/>
        <v>2.6666666666666665</v>
      </c>
      <c r="U5" s="40">
        <f>IF(score_l_equations!U5="A",5,IF(score_l_equations!U5="B",4,IF(score_l_equations!U5="C",3,IF(score_l_equations!U5="D",1,"NULL"))))</f>
        <v>4</v>
      </c>
      <c r="V5" s="40">
        <f>IF(score_l_equations!V5="A",5,IF(score_l_equations!V5="B",4,IF(score_l_equations!V5="C",3,IF(score_l_equations!V5="D",1,"NULL"))))</f>
        <v>1</v>
      </c>
      <c r="W5" s="40">
        <f>IF(score_l_equations!W5="A",5,IF(score_l_equations!W5="B",4,IF(score_l_equations!W5="C",3,IF(score_l_equations!W5="D",1,"NULL"))))</f>
        <v>5</v>
      </c>
      <c r="X5" s="45">
        <f t="shared" si="4"/>
        <v>3.3333333333333335</v>
      </c>
      <c r="Y5" s="40">
        <f>IF(score_l_equations!Y5="A",5,IF(score_l_equations!Y5="B",4,IF(score_l_equations!Y5="C",3,IF(score_l_equations!Y5="D",1,"NULL"))))</f>
        <v>3</v>
      </c>
      <c r="Z5" s="40">
        <f>IF(score_l_equations!Z5="A",5,IF(score_l_equations!Z5="B",4,IF(score_l_equations!Z5="C",3,IF(score_l_equations!Z5="D",1,"NULL"))))</f>
        <v>1</v>
      </c>
      <c r="AA5" s="58">
        <f t="shared" si="5"/>
        <v>2</v>
      </c>
      <c r="AB5" s="49">
        <f t="shared" si="6"/>
        <v>2.3400000000000003</v>
      </c>
      <c r="AC5" s="49">
        <f t="shared" si="7"/>
        <v>2.916666666666667</v>
      </c>
      <c r="AD5" s="53">
        <f t="shared" si="8"/>
        <v>2.7436666666666669</v>
      </c>
      <c r="AE5" s="53">
        <f t="shared" si="9"/>
        <v>2.4936666666666669</v>
      </c>
      <c r="AF5">
        <f t="shared" si="10"/>
        <v>-0.25</v>
      </c>
    </row>
    <row r="6" spans="1:34" x14ac:dyDescent="0.25">
      <c r="A6" s="33">
        <v>674</v>
      </c>
      <c r="B6" s="40">
        <f>IF(score_l_equations!B6="A",5,IF(score_l_equations!B6="B",4,IF(score_l_equations!B6="C",3,IF(score_l_equations!B6="D",1,"NULL"))))</f>
        <v>5</v>
      </c>
      <c r="C6" s="40">
        <f>IF(score_l_equations!C6="A",5,IF(score_l_equations!C6="B",4,IF(score_l_equations!C6="C",3,IF(score_l_equations!C6="D",1,"NULL"))))</f>
        <v>5</v>
      </c>
      <c r="D6" s="45">
        <f t="shared" si="1"/>
        <v>5</v>
      </c>
      <c r="E6" s="40">
        <f>IF(score_l_equations!E6="A",5,IF(score_l_equations!E6="B",4,IF(score_l_equations!E6="C",3,IF(score_l_equations!E6="D",1,"NULL"))))</f>
        <v>5</v>
      </c>
      <c r="F6" s="40">
        <f>IF(score_l_equations!F6="A",5,IF(score_l_equations!F6="B",4,IF(score_l_equations!F6="C",3,IF(score_l_equations!F6="D",1,"NULL"))))</f>
        <v>5</v>
      </c>
      <c r="G6" s="40">
        <f>IF(score_l_equations!G6="A",5,IF(score_l_equations!G6="B",4,IF(score_l_equations!G6="C",3,IF(score_l_equations!G6="D",1,"NULL"))))</f>
        <v>4</v>
      </c>
      <c r="H6" s="40">
        <f>IF(score_l_equations!H6="A",5,IF(score_l_equations!H6="B",4,IF(score_l_equations!H6="C",3,IF(score_l_equations!H6="D",1,"NULL"))))</f>
        <v>5</v>
      </c>
      <c r="I6" s="44">
        <f t="shared" si="0"/>
        <v>4.7434164902525691</v>
      </c>
      <c r="J6" s="40">
        <f>IF(score_l_equations!J6="A",5,IF(score_l_equations!J6="B",4,IF(score_l_equations!J6="B",4,IF(score_l_equations!J6="C",3,IF(score_l_equations!J6="C-",2,IF(score_l_equations!J6="D",1,"NULL"))))))</f>
        <v>3</v>
      </c>
      <c r="K6" s="40">
        <f>IF(score_l_equations!K6="A",5,IF(score_l_equations!K6="B",4,IF(score_l_equations!K6="B",4,IF(score_l_equations!K6="C",3,IF(score_l_equations!K6="C-",2,IF(score_l_equations!K6="D",1,"NULL"))))))</f>
        <v>4</v>
      </c>
      <c r="L6" s="40">
        <f>IF(score_l_equations!L6="A",5,IF(score_l_equations!L6="B",4,IF(score_l_equations!L6="B",4,IF(score_l_equations!L6="C",3,IF(score_l_equations!L6="C-",2,IF(score_l_equations!L6="D",1,"NULL"))))))</f>
        <v>4</v>
      </c>
      <c r="M6" s="40">
        <f>IF(score_l_equations!M6="A",5,IF(score_l_equations!M6="B",4,IF(score_l_equations!M6="B",4,IF(score_l_equations!M6="C",3,IF(score_l_equations!M6="C-",2,IF(score_l_equations!M6="D",1,"NULL"))))))</f>
        <v>5</v>
      </c>
      <c r="N6" s="40" t="str">
        <f>IF(score_l_equations!N6="A",5,IF(score_l_equations!N6="B",4,IF(score_l_equations!N6="B",4,IF(score_l_equations!N6="C",3,IF(score_l_equations!N6="C-",2,IF(score_l_equations!N6="D",1,"NULL"))))))</f>
        <v>NULL</v>
      </c>
      <c r="O6" s="40" t="str">
        <f>IF(score_l_equations!O6="A",5,IF(score_l_equations!O6="B",4,IF(score_l_equations!O6="B",4,IF(score_l_equations!O6="C",3,IF(score_l_equations!O6="C-",2,IF(score_l_equations!O6="D",1,"NULL"))))))</f>
        <v>NULL</v>
      </c>
      <c r="P6" s="44">
        <f t="shared" si="2"/>
        <v>4</v>
      </c>
      <c r="Q6" s="40">
        <f>IF(score_l_equations!Q6="A",5,IF(score_l_equations!Q6="B",4,IF(score_l_equations!Q6="C",3,IF(score_l_equations!Q6="D",1,"NULL"))))</f>
        <v>5</v>
      </c>
      <c r="R6" s="40">
        <f>IF(score_l_equations!R6="A",5,IF(score_l_equations!R6="B",4,IF(score_l_equations!R6="C",3,IF(score_l_equations!R6="D",1,"NULL"))))</f>
        <v>5</v>
      </c>
      <c r="S6" s="40">
        <f>IF(score_l_equations!S6="A",5,IF(score_l_equations!S6="B",4,IF(score_l_equations!S6="C",3,IF(score_l_equations!S6="D",1,"NULL"))))</f>
        <v>5</v>
      </c>
      <c r="T6" s="44">
        <f t="shared" si="3"/>
        <v>5</v>
      </c>
      <c r="U6" s="40">
        <f>IF(score_l_equations!U6="A",5,IF(score_l_equations!U6="B",4,IF(score_l_equations!U6="C",3,IF(score_l_equations!U6="D",1,"NULL"))))</f>
        <v>4</v>
      </c>
      <c r="V6" s="40">
        <f>IF(score_l_equations!V6="A",5,IF(score_l_equations!V6="B",4,IF(score_l_equations!V6="C",3,IF(score_l_equations!V6="D",1,"NULL"))))</f>
        <v>5</v>
      </c>
      <c r="W6" s="40">
        <f>IF(score_l_equations!W6="A",5,IF(score_l_equations!W6="B",4,IF(score_l_equations!W6="C",3,IF(score_l_equations!W6="D",1,"NULL"))))</f>
        <v>5</v>
      </c>
      <c r="X6" s="45">
        <f t="shared" si="4"/>
        <v>4.666666666666667</v>
      </c>
      <c r="Y6" s="40">
        <f>IF(score_l_equations!Y6="A",5,IF(score_l_equations!Y6="B",4,IF(score_l_equations!Y6="C",3,IF(score_l_equations!Y6="D",1,"NULL"))))</f>
        <v>4</v>
      </c>
      <c r="Z6" s="40">
        <f>IF(score_l_equations!Z6="A",5,IF(score_l_equations!Z6="B",4,IF(score_l_equations!Z6="C",3,IF(score_l_equations!Z6="D",1,"NULL"))))</f>
        <v>5</v>
      </c>
      <c r="AA6" s="58">
        <f t="shared" si="5"/>
        <v>4.5</v>
      </c>
      <c r="AB6" s="49">
        <f t="shared" si="6"/>
        <v>4.8280890484692218</v>
      </c>
      <c r="AC6" s="49">
        <f t="shared" si="7"/>
        <v>4.416666666666667</v>
      </c>
      <c r="AD6" s="53">
        <f t="shared" si="8"/>
        <v>4.5400933812074333</v>
      </c>
      <c r="AE6" s="53">
        <f t="shared" si="9"/>
        <v>5.0400933812074333</v>
      </c>
      <c r="AF6">
        <f t="shared" si="10"/>
        <v>0.5</v>
      </c>
    </row>
    <row r="7" spans="1:34" x14ac:dyDescent="0.25">
      <c r="A7" s="33">
        <v>1102</v>
      </c>
      <c r="B7" s="40">
        <f>IF(score_l_equations!B7="A",5,IF(score_l_equations!B7="B",4,IF(score_l_equations!B7="C",3,IF(score_l_equations!B7="D",1,"NULL"))))</f>
        <v>4</v>
      </c>
      <c r="C7" s="40">
        <f>IF(score_l_equations!C7="A",5,IF(score_l_equations!C7="B",4,IF(score_l_equations!C7="C",3,IF(score_l_equations!C7="D",1,"NULL"))))</f>
        <v>5</v>
      </c>
      <c r="D7" s="45">
        <f t="shared" si="1"/>
        <v>4.5</v>
      </c>
      <c r="E7" s="40">
        <f>IF(score_l_equations!E7="A",5,IF(score_l_equations!E7="B",4,IF(score_l_equations!E7="C",3,IF(score_l_equations!E7="D",1,"NULL"))))</f>
        <v>4</v>
      </c>
      <c r="F7" s="40">
        <f>IF(score_l_equations!F7="A",5,IF(score_l_equations!F7="B",4,IF(score_l_equations!F7="C",3,IF(score_l_equations!F7="D",1,"NULL"))))</f>
        <v>4</v>
      </c>
      <c r="G7" s="40">
        <f>IF(score_l_equations!G7="A",5,IF(score_l_equations!G7="B",4,IF(score_l_equations!G7="C",3,IF(score_l_equations!G7="D",1,"NULL"))))</f>
        <v>5</v>
      </c>
      <c r="H7" s="40">
        <f>IF(score_l_equations!H7="A",5,IF(score_l_equations!H7="B",4,IF(score_l_equations!H7="C",3,IF(score_l_equations!H7="D",1,"NULL"))))</f>
        <v>5</v>
      </c>
      <c r="I7" s="44">
        <f t="shared" si="0"/>
        <v>4.4721359549995796</v>
      </c>
      <c r="J7" s="40">
        <f>IF(score_l_equations!J7="A",5,IF(score_l_equations!J7="B",4,IF(score_l_equations!J7="B",4,IF(score_l_equations!J7="C",3,IF(score_l_equations!J7="C-",2,IF(score_l_equations!J7="D",1,"NULL"))))))</f>
        <v>3</v>
      </c>
      <c r="K7" s="40">
        <f>IF(score_l_equations!K7="A",5,IF(score_l_equations!K7="B",4,IF(score_l_equations!K7="B",4,IF(score_l_equations!K7="C",3,IF(score_l_equations!K7="C-",2,IF(score_l_equations!K7="D",1,"NULL"))))))</f>
        <v>5</v>
      </c>
      <c r="L7" s="40">
        <f>IF(score_l_equations!L7="A",5,IF(score_l_equations!L7="B",4,IF(score_l_equations!L7="B",4,IF(score_l_equations!L7="C",3,IF(score_l_equations!L7="C-",2,IF(score_l_equations!L7="D",1,"NULL"))))))</f>
        <v>5</v>
      </c>
      <c r="M7" s="40">
        <f>IF(score_l_equations!M7="A",5,IF(score_l_equations!M7="B",4,IF(score_l_equations!M7="B",4,IF(score_l_equations!M7="C",3,IF(score_l_equations!M7="C-",2,IF(score_l_equations!M7="D",1,"NULL"))))))</f>
        <v>5</v>
      </c>
      <c r="N7" s="40" t="str">
        <f>IF(score_l_equations!N7="A",5,IF(score_l_equations!N7="B",4,IF(score_l_equations!N7="B",4,IF(score_l_equations!N7="C",3,IF(score_l_equations!N7="C-",2,IF(score_l_equations!N7="D",1,"NULL"))))))</f>
        <v>NULL</v>
      </c>
      <c r="O7" s="40" t="str">
        <f>IF(score_l_equations!O7="A",5,IF(score_l_equations!O7="B",4,IF(score_l_equations!O7="B",4,IF(score_l_equations!O7="C",3,IF(score_l_equations!O7="C-",2,IF(score_l_equations!O7="D",1,"NULL"))))))</f>
        <v>NULL</v>
      </c>
      <c r="P7" s="44">
        <f t="shared" si="2"/>
        <v>4.5</v>
      </c>
      <c r="Q7" s="40">
        <f>IF(score_l_equations!Q7="A",5,IF(score_l_equations!Q7="B",4,IF(score_l_equations!Q7="C",3,IF(score_l_equations!Q7="D",1,"NULL"))))</f>
        <v>5</v>
      </c>
      <c r="R7" s="40">
        <f>IF(score_l_equations!R7="A",5,IF(score_l_equations!R7="B",4,IF(score_l_equations!R7="C",3,IF(score_l_equations!R7="D",1,"NULL"))))</f>
        <v>5</v>
      </c>
      <c r="S7" s="40">
        <f>IF(score_l_equations!S7="A",5,IF(score_l_equations!S7="B",4,IF(score_l_equations!S7="C",3,IF(score_l_equations!S7="D",1,"NULL"))))</f>
        <v>5</v>
      </c>
      <c r="T7" s="44">
        <f t="shared" si="3"/>
        <v>5</v>
      </c>
      <c r="U7" s="40">
        <f>IF(score_l_equations!U7="A",5,IF(score_l_equations!U7="B",4,IF(score_l_equations!U7="C",3,IF(score_l_equations!U7="D",1,"NULL"))))</f>
        <v>5</v>
      </c>
      <c r="V7" s="40">
        <f>IF(score_l_equations!V7="A",5,IF(score_l_equations!V7="B",4,IF(score_l_equations!V7="C",3,IF(score_l_equations!V7="D",1,"NULL"))))</f>
        <v>5</v>
      </c>
      <c r="W7" s="40">
        <f>IF(score_l_equations!W7="A",5,IF(score_l_equations!W7="B",4,IF(score_l_equations!W7="C",3,IF(score_l_equations!W7="D",1,"NULL"))))</f>
        <v>5</v>
      </c>
      <c r="X7" s="45">
        <f t="shared" si="4"/>
        <v>5</v>
      </c>
      <c r="Y7" s="40">
        <f>IF(score_l_equations!Y7="A",5,IF(score_l_equations!Y7="B",4,IF(score_l_equations!Y7="C",3,IF(score_l_equations!Y7="D",1,"NULL"))))</f>
        <v>5</v>
      </c>
      <c r="Z7" s="40">
        <f>IF(score_l_equations!Z7="A",5,IF(score_l_equations!Z7="B",4,IF(score_l_equations!Z7="C",3,IF(score_l_equations!Z7="D",1,"NULL"))))</f>
        <v>3</v>
      </c>
      <c r="AA7" s="58">
        <f t="shared" si="5"/>
        <v>4</v>
      </c>
      <c r="AB7" s="49">
        <f t="shared" si="6"/>
        <v>4.4813310898497187</v>
      </c>
      <c r="AC7" s="49">
        <f t="shared" si="7"/>
        <v>4.7249999999999996</v>
      </c>
      <c r="AD7" s="53">
        <f t="shared" si="8"/>
        <v>4.6518993269549149</v>
      </c>
      <c r="AE7" s="53">
        <f t="shared" si="9"/>
        <v>5.1518993269549149</v>
      </c>
      <c r="AF7">
        <f t="shared" si="10"/>
        <v>0.5</v>
      </c>
    </row>
    <row r="8" spans="1:34" x14ac:dyDescent="0.25">
      <c r="A8" s="33">
        <v>1251</v>
      </c>
      <c r="B8" s="40">
        <f>IF(score_l_equations!B8="A",5,IF(score_l_equations!B8="B",4,IF(score_l_equations!B8="C",3,IF(score_l_equations!B8="D",1,"NULL"))))</f>
        <v>5</v>
      </c>
      <c r="C8" s="40">
        <f>IF(score_l_equations!C8="A",5,IF(score_l_equations!C8="B",4,IF(score_l_equations!C8="C",3,IF(score_l_equations!C8="D",1,"NULL"))))</f>
        <v>5</v>
      </c>
      <c r="D8" s="45">
        <f t="shared" si="1"/>
        <v>5</v>
      </c>
      <c r="E8" s="40">
        <f>IF(score_l_equations!E8="A",5,IF(score_l_equations!E8="B",4,IF(score_l_equations!E8="C",3,IF(score_l_equations!E8="D",1,"NULL"))))</f>
        <v>5</v>
      </c>
      <c r="F8" s="40">
        <f>IF(score_l_equations!F8="A",5,IF(score_l_equations!F8="B",4,IF(score_l_equations!F8="C",3,IF(score_l_equations!F8="D",1,"NULL"))))</f>
        <v>5</v>
      </c>
      <c r="G8" s="40">
        <f>IF(score_l_equations!G8="A",5,IF(score_l_equations!G8="B",4,IF(score_l_equations!G8="C",3,IF(score_l_equations!G8="D",1,"NULL"))))</f>
        <v>5</v>
      </c>
      <c r="H8" s="40">
        <f>IF(score_l_equations!H8="A",5,IF(score_l_equations!H8="B",4,IF(score_l_equations!H8="C",3,IF(score_l_equations!H8="D",1,"NULL"))))</f>
        <v>5</v>
      </c>
      <c r="I8" s="44">
        <f t="shared" ref="I8:I43" si="11">IF(E8="Null","NULL",(SQRT(SQRT(E8*F8)*(AVERAGE(G8:H8)))))</f>
        <v>5</v>
      </c>
      <c r="J8" s="40">
        <f>IF(score_l_equations!J8="A",5,IF(score_l_equations!J8="B",4,IF(score_l_equations!J8="B",4,IF(score_l_equations!J8="C",3,IF(score_l_equations!J8="C-",2,IF(score_l_equations!J8="D",1,"NULL"))))))</f>
        <v>3</v>
      </c>
      <c r="K8" s="40">
        <f>IF(score_l_equations!K8="A",5,IF(score_l_equations!K8="B",4,IF(score_l_equations!K8="B",4,IF(score_l_equations!K8="C",3,IF(score_l_equations!K8="C-",2,IF(score_l_equations!K8="D",1,"NULL"))))))</f>
        <v>3</v>
      </c>
      <c r="L8" s="40">
        <f>IF(score_l_equations!L8="A",5,IF(score_l_equations!L8="B",4,IF(score_l_equations!L8="B",4,IF(score_l_equations!L8="C",3,IF(score_l_equations!L8="C-",2,IF(score_l_equations!L8="D",1,"NULL"))))))</f>
        <v>3</v>
      </c>
      <c r="M8" s="40">
        <f>IF(score_l_equations!M8="A",5,IF(score_l_equations!M8="B",4,IF(score_l_equations!M8="B",4,IF(score_l_equations!M8="C",3,IF(score_l_equations!M8="C-",2,IF(score_l_equations!M8="D",1,"NULL"))))))</f>
        <v>3</v>
      </c>
      <c r="N8" s="40" t="str">
        <f>IF(score_l_equations!N8="A",5,IF(score_l_equations!N8="B",4,IF(score_l_equations!N8="B",4,IF(score_l_equations!N8="C",3,IF(score_l_equations!N8="C-",2,IF(score_l_equations!N8="D",1,"NULL"))))))</f>
        <v>NULL</v>
      </c>
      <c r="O8" s="40" t="str">
        <f>IF(score_l_equations!O8="A",5,IF(score_l_equations!O8="B",4,IF(score_l_equations!O8="B",4,IF(score_l_equations!O8="C",3,IF(score_l_equations!O8="C-",2,IF(score_l_equations!O8="D",1,"NULL"))))))</f>
        <v>NULL</v>
      </c>
      <c r="P8" s="44">
        <f t="shared" si="2"/>
        <v>3</v>
      </c>
      <c r="Q8" s="40">
        <f>IF(score_l_equations!Q8="A",5,IF(score_l_equations!Q8="B",4,IF(score_l_equations!Q8="C",3,IF(score_l_equations!Q8="D",1,"NULL"))))</f>
        <v>5</v>
      </c>
      <c r="R8" s="40">
        <f>IF(score_l_equations!R8="A",5,IF(score_l_equations!R8="B",4,IF(score_l_equations!R8="C",3,IF(score_l_equations!R8="D",1,"NULL"))))</f>
        <v>5</v>
      </c>
      <c r="S8" s="40">
        <f>IF(score_l_equations!S8="A",5,IF(score_l_equations!S8="B",4,IF(score_l_equations!S8="C",3,IF(score_l_equations!S8="D",1,"NULL"))))</f>
        <v>4</v>
      </c>
      <c r="T8" s="44">
        <f t="shared" si="3"/>
        <v>4.666666666666667</v>
      </c>
      <c r="U8" s="40">
        <f>IF(score_l_equations!U8="A",5,IF(score_l_equations!U8="B",4,IF(score_l_equations!U8="C",3,IF(score_l_equations!U8="D",1,"NULL"))))</f>
        <v>3</v>
      </c>
      <c r="V8" s="40">
        <f>IF(score_l_equations!V8="A",5,IF(score_l_equations!V8="B",4,IF(score_l_equations!V8="C",3,IF(score_l_equations!V8="D",1,"NULL"))))</f>
        <v>5</v>
      </c>
      <c r="W8" s="40">
        <f>IF(score_l_equations!W8="A",5,IF(score_l_equations!W8="B",4,IF(score_l_equations!W8="C",3,IF(score_l_equations!W8="D",1,"NULL"))))</f>
        <v>3</v>
      </c>
      <c r="X8" s="45">
        <f t="shared" si="4"/>
        <v>3.6666666666666665</v>
      </c>
      <c r="Y8" s="40">
        <f>IF(score_l_equations!Y8="A",5,IF(score_l_equations!Y8="B",4,IF(score_l_equations!Y8="C",3,IF(score_l_equations!Y8="D",1,"NULL"))))</f>
        <v>4</v>
      </c>
      <c r="Z8" s="40">
        <f>IF(score_l_equations!Z8="A",5,IF(score_l_equations!Z8="B",4,IF(score_l_equations!Z8="C",3,IF(score_l_equations!Z8="D",1,"NULL"))))</f>
        <v>5</v>
      </c>
      <c r="AA8" s="58">
        <f t="shared" si="5"/>
        <v>4.5</v>
      </c>
      <c r="AB8" s="49">
        <f t="shared" si="6"/>
        <v>5</v>
      </c>
      <c r="AC8" s="49">
        <f t="shared" si="7"/>
        <v>3.65</v>
      </c>
      <c r="AD8" s="53">
        <f t="shared" si="8"/>
        <v>4.0549999999999997</v>
      </c>
      <c r="AE8" s="53">
        <f t="shared" si="9"/>
        <v>4.5549999999999997</v>
      </c>
      <c r="AF8">
        <f t="shared" si="10"/>
        <v>0.5</v>
      </c>
    </row>
    <row r="9" spans="1:34" x14ac:dyDescent="0.25">
      <c r="A9" s="33">
        <v>1270</v>
      </c>
      <c r="B9" s="40">
        <f>IF(score_l_equations!B9="A",5,IF(score_l_equations!B9="B",4,IF(score_l_equations!B9="C",3,IF(score_l_equations!B9="D",1,"NULL"))))</f>
        <v>4</v>
      </c>
      <c r="C9" s="40">
        <f>IF(score_l_equations!C9="A",5,IF(score_l_equations!C9="B",4,IF(score_l_equations!C9="C",3,IF(score_l_equations!C9="D",1,"NULL"))))</f>
        <v>5</v>
      </c>
      <c r="D9" s="45">
        <f t="shared" si="1"/>
        <v>4.5</v>
      </c>
      <c r="E9" s="40">
        <f>IF(score_l_equations!E9="A",5,IF(score_l_equations!E9="B",4,IF(score_l_equations!E9="C",3,IF(score_l_equations!E9="D",1,"NULL"))))</f>
        <v>5</v>
      </c>
      <c r="F9" s="40">
        <f>IF(score_l_equations!F9="A",5,IF(score_l_equations!F9="B",4,IF(score_l_equations!F9="C",3,IF(score_l_equations!F9="D",1,"NULL"))))</f>
        <v>5</v>
      </c>
      <c r="G9" s="40">
        <f>IF(score_l_equations!G9="A",5,IF(score_l_equations!G9="B",4,IF(score_l_equations!G9="C",3,IF(score_l_equations!G9="D",1,"NULL"))))</f>
        <v>3</v>
      </c>
      <c r="H9" s="40">
        <f>IF(score_l_equations!H9="A",5,IF(score_l_equations!H9="B",4,IF(score_l_equations!H9="C",3,IF(score_l_equations!H9="D",1,"NULL"))))</f>
        <v>4</v>
      </c>
      <c r="I9" s="44">
        <f t="shared" si="11"/>
        <v>4.1833001326703778</v>
      </c>
      <c r="J9" s="40">
        <f>IF(score_l_equations!J9="A",5,IF(score_l_equations!J9="B",4,IF(score_l_equations!J9="B",4,IF(score_l_equations!J9="C",3,IF(score_l_equations!J9="C-",2,IF(score_l_equations!J9="D",1,"NULL"))))))</f>
        <v>2</v>
      </c>
      <c r="K9" s="40">
        <f>IF(score_l_equations!K9="A",5,IF(score_l_equations!K9="B",4,IF(score_l_equations!K9="B",4,IF(score_l_equations!K9="C",3,IF(score_l_equations!K9="C-",2,IF(score_l_equations!K9="D",1,"NULL"))))))</f>
        <v>4</v>
      </c>
      <c r="L9" s="40">
        <f>IF(score_l_equations!L9="A",5,IF(score_l_equations!L9="B",4,IF(score_l_equations!L9="B",4,IF(score_l_equations!L9="C",3,IF(score_l_equations!L9="C-",2,IF(score_l_equations!L9="D",1,"NULL"))))))</f>
        <v>3</v>
      </c>
      <c r="M9" s="40">
        <f>IF(score_l_equations!M9="A",5,IF(score_l_equations!M9="B",4,IF(score_l_equations!M9="B",4,IF(score_l_equations!M9="C",3,IF(score_l_equations!M9="C-",2,IF(score_l_equations!M9="D",1,"NULL"))))))</f>
        <v>3</v>
      </c>
      <c r="N9" s="40" t="str">
        <f>IF(score_l_equations!N9="A",5,IF(score_l_equations!N9="B",4,IF(score_l_equations!N9="B",4,IF(score_l_equations!N9="C",3,IF(score_l_equations!N9="C-",2,IF(score_l_equations!N9="D",1,"NULL"))))))</f>
        <v>NULL</v>
      </c>
      <c r="O9" s="40" t="str">
        <f>IF(score_l_equations!O9="A",5,IF(score_l_equations!O9="B",4,IF(score_l_equations!O9="B",4,IF(score_l_equations!O9="C",3,IF(score_l_equations!O9="C-",2,IF(score_l_equations!O9="D",1,"NULL"))))))</f>
        <v>NULL</v>
      </c>
      <c r="P9" s="44">
        <f t="shared" si="2"/>
        <v>3</v>
      </c>
      <c r="Q9" s="40">
        <f>IF(score_l_equations!Q9="A",5,IF(score_l_equations!Q9="B",4,IF(score_l_equations!Q9="C",3,IF(score_l_equations!Q9="D",1,"NULL"))))</f>
        <v>5</v>
      </c>
      <c r="R9" s="40">
        <f>IF(score_l_equations!R9="A",5,IF(score_l_equations!R9="B",4,IF(score_l_equations!R9="C",3,IF(score_l_equations!R9="D",1,"NULL"))))</f>
        <v>5</v>
      </c>
      <c r="S9" s="40">
        <f>IF(score_l_equations!S9="A",5,IF(score_l_equations!S9="B",4,IF(score_l_equations!S9="C",3,IF(score_l_equations!S9="D",1,"NULL"))))</f>
        <v>5</v>
      </c>
      <c r="T9" s="44">
        <f t="shared" si="3"/>
        <v>5</v>
      </c>
      <c r="U9" s="40">
        <f>IF(score_l_equations!U9="A",5,IF(score_l_equations!U9="B",4,IF(score_l_equations!U9="C",3,IF(score_l_equations!U9="D",1,"NULL"))))</f>
        <v>5</v>
      </c>
      <c r="V9" s="40">
        <f>IF(score_l_equations!V9="A",5,IF(score_l_equations!V9="B",4,IF(score_l_equations!V9="C",3,IF(score_l_equations!V9="D",1,"NULL"))))</f>
        <v>5</v>
      </c>
      <c r="W9" s="40">
        <f>IF(score_l_equations!W9="A",5,IF(score_l_equations!W9="B",4,IF(score_l_equations!W9="C",3,IF(score_l_equations!W9="D",1,"NULL"))))</f>
        <v>3</v>
      </c>
      <c r="X9" s="45">
        <f t="shared" si="4"/>
        <v>4.333333333333333</v>
      </c>
      <c r="Y9" s="40">
        <f>IF(score_l_equations!Y9="A",5,IF(score_l_equations!Y9="B",4,IF(score_l_equations!Y9="C",3,IF(score_l_equations!Y9="D",1,"NULL"))))</f>
        <v>5</v>
      </c>
      <c r="Z9" s="40">
        <f>IF(score_l_equations!Z9="A",5,IF(score_l_equations!Z9="B",4,IF(score_l_equations!Z9="C",3,IF(score_l_equations!Z9="D",1,"NULL"))))</f>
        <v>5</v>
      </c>
      <c r="AA9" s="58">
        <f t="shared" si="5"/>
        <v>5</v>
      </c>
      <c r="AB9" s="49">
        <f t="shared" si="6"/>
        <v>4.2878110888891534</v>
      </c>
      <c r="AC9" s="49">
        <f t="shared" si="7"/>
        <v>3.8333333333333339</v>
      </c>
      <c r="AD9" s="53">
        <f t="shared" si="8"/>
        <v>3.9696766600000792</v>
      </c>
      <c r="AE9" s="53">
        <f t="shared" si="9"/>
        <v>4.4696766600000792</v>
      </c>
      <c r="AF9">
        <f t="shared" si="10"/>
        <v>0.5</v>
      </c>
    </row>
    <row r="10" spans="1:34" x14ac:dyDescent="0.25">
      <c r="A10" s="33">
        <v>1368</v>
      </c>
      <c r="B10" s="40">
        <f>IF(score_l_equations!B10="A",5,IF(score_l_equations!B10="B",4,IF(score_l_equations!B10="C",3,IF(score_l_equations!B10="D",1,"NULL"))))</f>
        <v>5</v>
      </c>
      <c r="C10" s="40">
        <f>IF(score_l_equations!C10="A",5,IF(score_l_equations!C10="B",4,IF(score_l_equations!C10="C",3,IF(score_l_equations!C10="D",1,"NULL"))))</f>
        <v>5</v>
      </c>
      <c r="D10" s="45">
        <f t="shared" si="1"/>
        <v>5</v>
      </c>
      <c r="E10" s="40">
        <f>IF(score_l_equations!E10="A",5,IF(score_l_equations!E10="B",4,IF(score_l_equations!E10="C",3,IF(score_l_equations!E10="D",1,"NULL"))))</f>
        <v>5</v>
      </c>
      <c r="F10" s="40">
        <f>IF(score_l_equations!F10="A",5,IF(score_l_equations!F10="B",4,IF(score_l_equations!F10="C",3,IF(score_l_equations!F10="D",1,"NULL"))))</f>
        <v>5</v>
      </c>
      <c r="G10" s="40">
        <f>IF(score_l_equations!G10="A",5,IF(score_l_equations!G10="B",4,IF(score_l_equations!G10="C",3,IF(score_l_equations!G10="D",1,"NULL"))))</f>
        <v>4</v>
      </c>
      <c r="H10" s="40">
        <f>IF(score_l_equations!H10="A",5,IF(score_l_equations!H10="B",4,IF(score_l_equations!H10="C",3,IF(score_l_equations!H10="D",1,"NULL"))))</f>
        <v>4</v>
      </c>
      <c r="I10" s="44">
        <f t="shared" si="11"/>
        <v>4.4721359549995796</v>
      </c>
      <c r="J10" s="40">
        <f>IF(score_l_equations!J10="A",5,IF(score_l_equations!J10="B",4,IF(score_l_equations!J10="B",4,IF(score_l_equations!J10="C",3,IF(score_l_equations!J10="C-",2,IF(score_l_equations!J10="D",1,"NULL"))))))</f>
        <v>4</v>
      </c>
      <c r="K10" s="40">
        <f>IF(score_l_equations!K10="A",5,IF(score_l_equations!K10="B",4,IF(score_l_equations!K10="B",4,IF(score_l_equations!K10="C",3,IF(score_l_equations!K10="C-",2,IF(score_l_equations!K10="D",1,"NULL"))))))</f>
        <v>4</v>
      </c>
      <c r="L10" s="40">
        <f>IF(score_l_equations!L10="A",5,IF(score_l_equations!L10="B",4,IF(score_l_equations!L10="B",4,IF(score_l_equations!L10="C",3,IF(score_l_equations!L10="C-",2,IF(score_l_equations!L10="D",1,"NULL"))))))</f>
        <v>5</v>
      </c>
      <c r="M10" s="40">
        <f>IF(score_l_equations!M10="A",5,IF(score_l_equations!M10="B",4,IF(score_l_equations!M10="B",4,IF(score_l_equations!M10="C",3,IF(score_l_equations!M10="C-",2,IF(score_l_equations!M10="D",1,"NULL"))))))</f>
        <v>5</v>
      </c>
      <c r="N10" s="40" t="str">
        <f>IF(score_l_equations!N10="A",5,IF(score_l_equations!N10="B",4,IF(score_l_equations!N10="B",4,IF(score_l_equations!N10="C",3,IF(score_l_equations!N10="C-",2,IF(score_l_equations!N10="D",1,"NULL"))))))</f>
        <v>NULL</v>
      </c>
      <c r="O10" s="40" t="str">
        <f>IF(score_l_equations!O10="A",5,IF(score_l_equations!O10="B",4,IF(score_l_equations!O10="B",4,IF(score_l_equations!O10="C",3,IF(score_l_equations!O10="C-",2,IF(score_l_equations!O10="D",1,"NULL"))))))</f>
        <v>NULL</v>
      </c>
      <c r="P10" s="44">
        <f t="shared" si="2"/>
        <v>4.5</v>
      </c>
      <c r="Q10" s="40">
        <f>IF(score_l_equations!Q10="A",5,IF(score_l_equations!Q10="B",4,IF(score_l_equations!Q10="C",3,IF(score_l_equations!Q10="D",1,"NULL"))))</f>
        <v>5</v>
      </c>
      <c r="R10" s="40">
        <f>IF(score_l_equations!R10="A",5,IF(score_l_equations!R10="B",4,IF(score_l_equations!R10="C",3,IF(score_l_equations!R10="D",1,"NULL"))))</f>
        <v>4</v>
      </c>
      <c r="S10" s="40">
        <f>IF(score_l_equations!S10="A",5,IF(score_l_equations!S10="B",4,IF(score_l_equations!S10="C",3,IF(score_l_equations!S10="D",1,"NULL"))))</f>
        <v>4</v>
      </c>
      <c r="T10" s="44">
        <f t="shared" si="3"/>
        <v>4.333333333333333</v>
      </c>
      <c r="U10" s="40">
        <f>IF(score_l_equations!U10="A",5,IF(score_l_equations!U10="B",4,IF(score_l_equations!U10="C",3,IF(score_l_equations!U10="D",1,"NULL"))))</f>
        <v>3</v>
      </c>
      <c r="V10" s="40">
        <f>IF(score_l_equations!V10="A",5,IF(score_l_equations!V10="B",4,IF(score_l_equations!V10="C",3,IF(score_l_equations!V10="D",1,"NULL"))))</f>
        <v>5</v>
      </c>
      <c r="W10" s="40">
        <f>IF(score_l_equations!W10="A",5,IF(score_l_equations!W10="B",4,IF(score_l_equations!W10="C",3,IF(score_l_equations!W10="D",1,"NULL"))))</f>
        <v>5</v>
      </c>
      <c r="X10" s="45">
        <f t="shared" si="4"/>
        <v>4.333333333333333</v>
      </c>
      <c r="Y10" s="40">
        <f>IF(score_l_equations!Y10="A",5,IF(score_l_equations!Y10="B",4,IF(score_l_equations!Y10="C",3,IF(score_l_equations!Y10="D",1,"NULL"))))</f>
        <v>5</v>
      </c>
      <c r="Z10" s="40">
        <f>IF(score_l_equations!Z10="A",5,IF(score_l_equations!Z10="B",4,IF(score_l_equations!Z10="C",3,IF(score_l_equations!Z10="D",1,"NULL"))))</f>
        <v>5</v>
      </c>
      <c r="AA10" s="58">
        <f t="shared" si="5"/>
        <v>5</v>
      </c>
      <c r="AB10" s="49">
        <f t="shared" si="6"/>
        <v>4.6463310898497188</v>
      </c>
      <c r="AC10" s="49">
        <f t="shared" si="7"/>
        <v>4.4249999999999998</v>
      </c>
      <c r="AD10" s="53">
        <f t="shared" si="8"/>
        <v>4.4913993269549151</v>
      </c>
      <c r="AE10" s="53">
        <f t="shared" si="9"/>
        <v>4.9913993269549151</v>
      </c>
      <c r="AF10">
        <f t="shared" si="10"/>
        <v>0.5</v>
      </c>
    </row>
    <row r="11" spans="1:34" x14ac:dyDescent="0.25">
      <c r="A11" s="33">
        <v>1610</v>
      </c>
      <c r="B11" s="40">
        <f>IF(score_l_equations!B11="A",5,IF(score_l_equations!B11="B",4,IF(score_l_equations!B11="C",3,IF(score_l_equations!B11="D",1,"NULL"))))</f>
        <v>3</v>
      </c>
      <c r="C11" s="40">
        <f>IF(score_l_equations!C11="A",5,IF(score_l_equations!C11="B",4,IF(score_l_equations!C11="C",3,IF(score_l_equations!C11="D",1,"NULL"))))</f>
        <v>4</v>
      </c>
      <c r="D11" s="45">
        <f t="shared" si="1"/>
        <v>3.5</v>
      </c>
      <c r="E11" s="40">
        <f>IF(score_l_equations!E11="A",5,IF(score_l_equations!E11="B",4,IF(score_l_equations!E11="C",3,IF(score_l_equations!E11="D",1,"NULL"))))</f>
        <v>4</v>
      </c>
      <c r="F11" s="40">
        <f>IF(score_l_equations!F11="A",5,IF(score_l_equations!F11="B",4,IF(score_l_equations!F11="C",3,IF(score_l_equations!F11="D",1,"NULL"))))</f>
        <v>4</v>
      </c>
      <c r="G11" s="40">
        <f>IF(score_l_equations!G11="A",5,IF(score_l_equations!G11="B",4,IF(score_l_equations!G11="C",3,IF(score_l_equations!G11="D",1,"NULL"))))</f>
        <v>4</v>
      </c>
      <c r="H11" s="40">
        <f>IF(score_l_equations!H11="A",5,IF(score_l_equations!H11="B",4,IF(score_l_equations!H11="C",3,IF(score_l_equations!H11="D",1,"NULL"))))</f>
        <v>3</v>
      </c>
      <c r="I11" s="44">
        <f t="shared" si="11"/>
        <v>3.7416573867739413</v>
      </c>
      <c r="J11" s="40">
        <f>IF(score_l_equations!J11="A",5,IF(score_l_equations!J11="B",4,IF(score_l_equations!J11="B",4,IF(score_l_equations!J11="C",3,IF(score_l_equations!J11="C-",2,IF(score_l_equations!J11="D",1,"NULL"))))))</f>
        <v>4</v>
      </c>
      <c r="K11" s="40">
        <f>IF(score_l_equations!K11="A",5,IF(score_l_equations!K11="B",4,IF(score_l_equations!K11="B",4,IF(score_l_equations!K11="C",3,IF(score_l_equations!K11="C-",2,IF(score_l_equations!K11="D",1,"NULL"))))))</f>
        <v>4</v>
      </c>
      <c r="L11" s="40">
        <f>IF(score_l_equations!L11="A",5,IF(score_l_equations!L11="B",4,IF(score_l_equations!L11="B",4,IF(score_l_equations!L11="C",3,IF(score_l_equations!L11="C-",2,IF(score_l_equations!L11="D",1,"NULL"))))))</f>
        <v>5</v>
      </c>
      <c r="M11" s="40">
        <f>IF(score_l_equations!M11="A",5,IF(score_l_equations!M11="B",4,IF(score_l_equations!M11="B",4,IF(score_l_equations!M11="C",3,IF(score_l_equations!M11="C-",2,IF(score_l_equations!M11="D",1,"NULL"))))))</f>
        <v>5</v>
      </c>
      <c r="N11" s="40" t="str">
        <f>IF(score_l_equations!N11="A",5,IF(score_l_equations!N11="B",4,IF(score_l_equations!N11="B",4,IF(score_l_equations!N11="C",3,IF(score_l_equations!N11="C-",2,IF(score_l_equations!N11="D",1,"NULL"))))))</f>
        <v>NULL</v>
      </c>
      <c r="O11" s="40" t="str">
        <f>IF(score_l_equations!O11="A",5,IF(score_l_equations!O11="B",4,IF(score_l_equations!O11="B",4,IF(score_l_equations!O11="C",3,IF(score_l_equations!O11="C-",2,IF(score_l_equations!O11="D",1,"NULL"))))))</f>
        <v>NULL</v>
      </c>
      <c r="P11" s="44">
        <f t="shared" si="2"/>
        <v>4.5</v>
      </c>
      <c r="Q11" s="40">
        <f>IF(score_l_equations!Q11="A",5,IF(score_l_equations!Q11="B",4,IF(score_l_equations!Q11="C",3,IF(score_l_equations!Q11="D",1,"NULL"))))</f>
        <v>5</v>
      </c>
      <c r="R11" s="40">
        <f>IF(score_l_equations!R11="A",5,IF(score_l_equations!R11="B",4,IF(score_l_equations!R11="C",3,IF(score_l_equations!R11="D",1,"NULL"))))</f>
        <v>5</v>
      </c>
      <c r="S11" s="40">
        <f>IF(score_l_equations!S11="A",5,IF(score_l_equations!S11="B",4,IF(score_l_equations!S11="C",3,IF(score_l_equations!S11="D",1,"NULL"))))</f>
        <v>4</v>
      </c>
      <c r="T11" s="44">
        <f t="shared" si="3"/>
        <v>4.666666666666667</v>
      </c>
      <c r="U11" s="40">
        <f>IF(score_l_equations!U11="A",5,IF(score_l_equations!U11="B",4,IF(score_l_equations!U11="C",3,IF(score_l_equations!U11="D",1,"NULL"))))</f>
        <v>3</v>
      </c>
      <c r="V11" s="40">
        <f>IF(score_l_equations!V11="A",5,IF(score_l_equations!V11="B",4,IF(score_l_equations!V11="C",3,IF(score_l_equations!V11="D",1,"NULL"))))</f>
        <v>5</v>
      </c>
      <c r="W11" s="40">
        <f>IF(score_l_equations!W11="A",5,IF(score_l_equations!W11="B",4,IF(score_l_equations!W11="C",3,IF(score_l_equations!W11="D",1,"NULL"))))</f>
        <v>4</v>
      </c>
      <c r="X11" s="45">
        <f t="shared" si="4"/>
        <v>4</v>
      </c>
      <c r="Y11" s="40">
        <f>IF(score_l_equations!Y11="A",5,IF(score_l_equations!Y11="B",4,IF(score_l_equations!Y11="C",3,IF(score_l_equations!Y11="D",1,"NULL"))))</f>
        <v>5</v>
      </c>
      <c r="Z11" s="40">
        <f>IF(score_l_equations!Z11="A",5,IF(score_l_equations!Z11="B",4,IF(score_l_equations!Z11="C",3,IF(score_l_equations!Z11="D",1,"NULL"))))</f>
        <v>5</v>
      </c>
      <c r="AA11" s="58">
        <f t="shared" si="5"/>
        <v>5</v>
      </c>
      <c r="AB11" s="49">
        <f t="shared" si="6"/>
        <v>3.6619104491385412</v>
      </c>
      <c r="AC11" s="49">
        <f t="shared" si="7"/>
        <v>4.5083333333333337</v>
      </c>
      <c r="AD11" s="53">
        <f t="shared" si="8"/>
        <v>4.2544064680748956</v>
      </c>
      <c r="AE11" s="53">
        <f t="shared" si="9"/>
        <v>4.7544064680748956</v>
      </c>
      <c r="AF11">
        <f t="shared" si="10"/>
        <v>0.5</v>
      </c>
    </row>
    <row r="12" spans="1:34" x14ac:dyDescent="0.25">
      <c r="A12" s="33">
        <v>1611</v>
      </c>
      <c r="B12" s="40">
        <f>IF(score_l_equations!B12="A",5,IF(score_l_equations!B12="B",4,IF(score_l_equations!B12="C",3,IF(score_l_equations!B12="D",1,"NULL"))))</f>
        <v>3</v>
      </c>
      <c r="C12" s="40">
        <f>IF(score_l_equations!C12="A",5,IF(score_l_equations!C12="B",4,IF(score_l_equations!C12="C",3,IF(score_l_equations!C12="D",1,"NULL"))))</f>
        <v>3</v>
      </c>
      <c r="D12" s="45">
        <f t="shared" si="1"/>
        <v>3</v>
      </c>
      <c r="E12" s="40">
        <f>IF(score_l_equations!E12="A",5,IF(score_l_equations!E12="B",4,IF(score_l_equations!E12="C",3,IF(score_l_equations!E12="D",1,"NULL"))))</f>
        <v>5</v>
      </c>
      <c r="F12" s="40">
        <f>IF(score_l_equations!F12="A",5,IF(score_l_equations!F12="B",4,IF(score_l_equations!F12="C",3,IF(score_l_equations!F12="D",1,"NULL"))))</f>
        <v>4</v>
      </c>
      <c r="G12" s="40">
        <f>IF(score_l_equations!G12="A",5,IF(score_l_equations!G12="B",4,IF(score_l_equations!G12="C",3,IF(score_l_equations!G12="D",1,"NULL"))))</f>
        <v>1</v>
      </c>
      <c r="H12" s="40">
        <f>IF(score_l_equations!H12="A",5,IF(score_l_equations!H12="B",4,IF(score_l_equations!H12="C",3,IF(score_l_equations!H12="D",1,"NULL"))))</f>
        <v>5</v>
      </c>
      <c r="I12" s="44">
        <f t="shared" si="11"/>
        <v>3.6628415014847064</v>
      </c>
      <c r="J12" s="40">
        <f>IF(score_l_equations!J12="A",5,IF(score_l_equations!J12="B",4,IF(score_l_equations!J12="B",4,IF(score_l_equations!J12="C",3,IF(score_l_equations!J12="C-",2,IF(score_l_equations!J12="D",1,"NULL"))))))</f>
        <v>2</v>
      </c>
      <c r="K12" s="40">
        <f>IF(score_l_equations!K12="A",5,IF(score_l_equations!K12="B",4,IF(score_l_equations!K12="B",4,IF(score_l_equations!K12="C",3,IF(score_l_equations!K12="C-",2,IF(score_l_equations!K12="D",1,"NULL"))))))</f>
        <v>2</v>
      </c>
      <c r="L12" s="40">
        <f>IF(score_l_equations!L12="A",5,IF(score_l_equations!L12="B",4,IF(score_l_equations!L12="B",4,IF(score_l_equations!L12="C",3,IF(score_l_equations!L12="C-",2,IF(score_l_equations!L12="D",1,"NULL"))))))</f>
        <v>4</v>
      </c>
      <c r="M12" s="40">
        <f>IF(score_l_equations!M12="A",5,IF(score_l_equations!M12="B",4,IF(score_l_equations!M12="B",4,IF(score_l_equations!M12="C",3,IF(score_l_equations!M12="C-",2,IF(score_l_equations!M12="D",1,"NULL"))))))</f>
        <v>5</v>
      </c>
      <c r="N12" s="40" t="str">
        <f>IF(score_l_equations!N12="A",5,IF(score_l_equations!N12="B",4,IF(score_l_equations!N12="B",4,IF(score_l_equations!N12="C",3,IF(score_l_equations!N12="C-",2,IF(score_l_equations!N12="D",1,"NULL"))))))</f>
        <v>NULL</v>
      </c>
      <c r="O12" s="40" t="str">
        <f>IF(score_l_equations!O12="A",5,IF(score_l_equations!O12="B",4,IF(score_l_equations!O12="B",4,IF(score_l_equations!O12="C",3,IF(score_l_equations!O12="C-",2,IF(score_l_equations!O12="D",1,"NULL"))))))</f>
        <v>NULL</v>
      </c>
      <c r="P12" s="44">
        <f t="shared" si="2"/>
        <v>3.25</v>
      </c>
      <c r="Q12" s="40">
        <f>IF(score_l_equations!Q12="A",5,IF(score_l_equations!Q12="B",4,IF(score_l_equations!Q12="C",3,IF(score_l_equations!Q12="D",1,"NULL"))))</f>
        <v>4</v>
      </c>
      <c r="R12" s="40">
        <f>IF(score_l_equations!R12="A",5,IF(score_l_equations!R12="B",4,IF(score_l_equations!R12="C",3,IF(score_l_equations!R12="D",1,"NULL"))))</f>
        <v>5</v>
      </c>
      <c r="S12" s="40">
        <f>IF(score_l_equations!S12="A",5,IF(score_l_equations!S12="B",4,IF(score_l_equations!S12="C",3,IF(score_l_equations!S12="D",1,"NULL"))))</f>
        <v>5</v>
      </c>
      <c r="T12" s="44">
        <f t="shared" si="3"/>
        <v>4.666666666666667</v>
      </c>
      <c r="U12" s="40">
        <f>IF(score_l_equations!U12="A",5,IF(score_l_equations!U12="B",4,IF(score_l_equations!U12="C",3,IF(score_l_equations!U12="D",1,"NULL"))))</f>
        <v>4</v>
      </c>
      <c r="V12" s="40" t="str">
        <f>IF(score_l_equations!V12="A",5,IF(score_l_equations!V12="B",4,IF(score_l_equations!V12="C",3,IF(score_l_equations!V12="D",1,"NULL"))))</f>
        <v>NULL</v>
      </c>
      <c r="W12" s="40" t="str">
        <f>IF(score_l_equations!W12="A",5,IF(score_l_equations!W12="B",4,IF(score_l_equations!W12="C",3,IF(score_l_equations!W12="D",1,"NULL"))))</f>
        <v>NULL</v>
      </c>
      <c r="X12" s="45">
        <f t="shared" si="4"/>
        <v>4</v>
      </c>
      <c r="Y12" s="40">
        <f>IF(score_l_equations!Y12="A",5,IF(score_l_equations!Y12="B",4,IF(score_l_equations!Y12="C",3,IF(score_l_equations!Y12="D",1,"NULL"))))</f>
        <v>4</v>
      </c>
      <c r="Z12" s="40">
        <f>IF(score_l_equations!Z12="A",5,IF(score_l_equations!Z12="B",4,IF(score_l_equations!Z12="C",3,IF(score_l_equations!Z12="D",1,"NULL"))))</f>
        <v>5</v>
      </c>
      <c r="AA12" s="58">
        <f t="shared" si="5"/>
        <v>4.5</v>
      </c>
      <c r="AB12" s="49">
        <f t="shared" si="6"/>
        <v>3.4441038059947537</v>
      </c>
      <c r="AC12" s="49">
        <f t="shared" si="7"/>
        <v>3.8208333333333333</v>
      </c>
      <c r="AD12" s="53">
        <f t="shared" si="8"/>
        <v>3.7078144751317592</v>
      </c>
      <c r="AE12" s="53">
        <f t="shared" si="9"/>
        <v>4.2078144751317588</v>
      </c>
      <c r="AF12">
        <f t="shared" si="10"/>
        <v>0.5</v>
      </c>
    </row>
    <row r="13" spans="1:34" x14ac:dyDescent="0.25">
      <c r="A13" s="33">
        <v>1617</v>
      </c>
      <c r="B13" s="40">
        <f>IF(score_l_equations!B13="A",5,IF(score_l_equations!B13="B",4,IF(score_l_equations!B13="C",3,IF(score_l_equations!B13="D",1,"NULL"))))</f>
        <v>3</v>
      </c>
      <c r="C13" s="40">
        <f>IF(score_l_equations!C13="A",5,IF(score_l_equations!C13="B",4,IF(score_l_equations!C13="C",3,IF(score_l_equations!C13="D",1,"NULL"))))</f>
        <v>3</v>
      </c>
      <c r="D13" s="45">
        <f t="shared" si="1"/>
        <v>3</v>
      </c>
      <c r="E13" s="40">
        <f>IF(score_l_equations!E13="A",5,IF(score_l_equations!E13="B",4,IF(score_l_equations!E13="C",3,IF(score_l_equations!E13="D",1,"NULL"))))</f>
        <v>5</v>
      </c>
      <c r="F13" s="40">
        <f>IF(score_l_equations!F13="A",5,IF(score_l_equations!F13="B",4,IF(score_l_equations!F13="C",3,IF(score_l_equations!F13="D",1,"NULL"))))</f>
        <v>4</v>
      </c>
      <c r="G13" s="40">
        <f>IF(score_l_equations!G13="A",5,IF(score_l_equations!G13="B",4,IF(score_l_equations!G13="C",3,IF(score_l_equations!G13="D",1,"NULL"))))</f>
        <v>1</v>
      </c>
      <c r="H13" s="40">
        <f>IF(score_l_equations!H13="A",5,IF(score_l_equations!H13="B",4,IF(score_l_equations!H13="C",3,IF(score_l_equations!H13="D",1,"NULL"))))</f>
        <v>5</v>
      </c>
      <c r="I13" s="44">
        <f t="shared" si="11"/>
        <v>3.6628415014847064</v>
      </c>
      <c r="J13" s="40">
        <f>IF(score_l_equations!J13="A",5,IF(score_l_equations!J13="B",4,IF(score_l_equations!J13="B",4,IF(score_l_equations!J13="C",3,IF(score_l_equations!J13="C-",2,IF(score_l_equations!J13="D",1,"NULL"))))))</f>
        <v>1</v>
      </c>
      <c r="K13" s="40">
        <f>IF(score_l_equations!K13="A",5,IF(score_l_equations!K13="B",4,IF(score_l_equations!K13="B",4,IF(score_l_equations!K13="C",3,IF(score_l_equations!K13="C-",2,IF(score_l_equations!K13="D",1,"NULL"))))))</f>
        <v>2</v>
      </c>
      <c r="L13" s="40">
        <f>IF(score_l_equations!L13="A",5,IF(score_l_equations!L13="B",4,IF(score_l_equations!L13="B",4,IF(score_l_equations!L13="C",3,IF(score_l_equations!L13="C-",2,IF(score_l_equations!L13="D",1,"NULL"))))))</f>
        <v>1</v>
      </c>
      <c r="M13" s="40">
        <f>IF(score_l_equations!M13="A",5,IF(score_l_equations!M13="B",4,IF(score_l_equations!M13="B",4,IF(score_l_equations!M13="C",3,IF(score_l_equations!M13="C-",2,IF(score_l_equations!M13="D",1,"NULL"))))))</f>
        <v>3</v>
      </c>
      <c r="N13" s="40">
        <f>IF(score_l_equations!N13="A",5,IF(score_l_equations!N13="B",4,IF(score_l_equations!N13="B",4,IF(score_l_equations!N13="C",3,IF(score_l_equations!N13="C-",2,IF(score_l_equations!N13="D",1,"NULL"))))))</f>
        <v>3</v>
      </c>
      <c r="O13" s="40">
        <f>IF(score_l_equations!O13="A",5,IF(score_l_equations!O13="B",4,IF(score_l_equations!O13="B",4,IF(score_l_equations!O13="C",3,IF(score_l_equations!O13="C-",2,IF(score_l_equations!O13="D",1,"NULL"))))))</f>
        <v>3</v>
      </c>
      <c r="P13" s="44">
        <f t="shared" si="2"/>
        <v>2.1666666666666665</v>
      </c>
      <c r="Q13" s="40">
        <f>IF(score_l_equations!Q13="A",5,IF(score_l_equations!Q13="B",4,IF(score_l_equations!Q13="C",3,IF(score_l_equations!Q13="D",1,"NULL"))))</f>
        <v>1</v>
      </c>
      <c r="R13" s="40">
        <f>IF(score_l_equations!R13="A",5,IF(score_l_equations!R13="B",4,IF(score_l_equations!R13="C",3,IF(score_l_equations!R13="D",1,"NULL"))))</f>
        <v>4</v>
      </c>
      <c r="S13" s="40">
        <f>IF(score_l_equations!S13="A",5,IF(score_l_equations!S13="B",4,IF(score_l_equations!S13="C",3,IF(score_l_equations!S13="D",1,"NULL"))))</f>
        <v>1</v>
      </c>
      <c r="T13" s="44">
        <f t="shared" si="3"/>
        <v>2</v>
      </c>
      <c r="U13" s="40">
        <f>IF(score_l_equations!U13="A",5,IF(score_l_equations!U13="B",4,IF(score_l_equations!U13="C",3,IF(score_l_equations!U13="D",1,"NULL"))))</f>
        <v>4</v>
      </c>
      <c r="V13" s="40">
        <f>IF(score_l_equations!V13="A",5,IF(score_l_equations!V13="B",4,IF(score_l_equations!V13="C",3,IF(score_l_equations!V13="D",1,"NULL"))))</f>
        <v>5</v>
      </c>
      <c r="W13" s="40">
        <f>IF(score_l_equations!W13="A",5,IF(score_l_equations!W13="B",4,IF(score_l_equations!W13="C",3,IF(score_l_equations!W13="D",1,"NULL"))))</f>
        <v>4</v>
      </c>
      <c r="X13" s="45">
        <f t="shared" si="4"/>
        <v>4.333333333333333</v>
      </c>
      <c r="Y13" s="40">
        <f>IF(score_l_equations!Y13="A",5,IF(score_l_equations!Y13="B",4,IF(score_l_equations!Y13="C",3,IF(score_l_equations!Y13="D",1,"NULL"))))</f>
        <v>1</v>
      </c>
      <c r="Z13" s="40">
        <f>IF(score_l_equations!Z13="A",5,IF(score_l_equations!Z13="B",4,IF(score_l_equations!Z13="C",3,IF(score_l_equations!Z13="D",1,"NULL"))))</f>
        <v>4</v>
      </c>
      <c r="AA13" s="58">
        <f t="shared" si="5"/>
        <v>2.5</v>
      </c>
      <c r="AB13" s="49">
        <f t="shared" si="6"/>
        <v>3.4441038059947537</v>
      </c>
      <c r="AC13" s="49">
        <f t="shared" si="7"/>
        <v>2.3250000000000002</v>
      </c>
      <c r="AD13" s="53">
        <f t="shared" si="8"/>
        <v>2.6607311417984261</v>
      </c>
      <c r="AE13" s="53">
        <f t="shared" si="9"/>
        <v>2.9107311417984261</v>
      </c>
      <c r="AF13">
        <f t="shared" si="10"/>
        <v>0.25</v>
      </c>
    </row>
    <row r="14" spans="1:34" x14ac:dyDescent="0.25">
      <c r="A14" s="33">
        <v>1682</v>
      </c>
      <c r="B14" s="40">
        <f>IF(score_l_equations!B14="A",5,IF(score_l_equations!B14="B",4,IF(score_l_equations!B14="C",3,IF(score_l_equations!B14="D",1,"NULL"))))</f>
        <v>3</v>
      </c>
      <c r="C14" s="40">
        <f>IF(score_l_equations!C14="A",5,IF(score_l_equations!C14="B",4,IF(score_l_equations!C14="C",3,IF(score_l_equations!C14="D",1,"NULL"))))</f>
        <v>4</v>
      </c>
      <c r="D14" s="45">
        <f t="shared" si="1"/>
        <v>3.5</v>
      </c>
      <c r="E14" s="40">
        <f>IF(score_l_equations!E14="A",5,IF(score_l_equations!E14="B",4,IF(score_l_equations!E14="C",3,IF(score_l_equations!E14="D",1,"NULL"))))</f>
        <v>5</v>
      </c>
      <c r="F14" s="40">
        <f>IF(score_l_equations!F14="A",5,IF(score_l_equations!F14="B",4,IF(score_l_equations!F14="C",3,IF(score_l_equations!F14="D",1,"NULL"))))</f>
        <v>5</v>
      </c>
      <c r="G14" s="40">
        <f>IF(score_l_equations!G14="A",5,IF(score_l_equations!G14="B",4,IF(score_l_equations!G14="C",3,IF(score_l_equations!G14="D",1,"NULL"))))</f>
        <v>5</v>
      </c>
      <c r="H14" s="40">
        <f>IF(score_l_equations!H14="A",5,IF(score_l_equations!H14="B",4,IF(score_l_equations!H14="C",3,IF(score_l_equations!H14="D",1,"NULL"))))</f>
        <v>4</v>
      </c>
      <c r="I14" s="44">
        <f t="shared" si="11"/>
        <v>4.7434164902525691</v>
      </c>
      <c r="J14" s="40">
        <f>IF(score_l_equations!J14="A",5,IF(score_l_equations!J14="B",4,IF(score_l_equations!J14="B",4,IF(score_l_equations!J14="C",3,IF(score_l_equations!J14="C-",2,IF(score_l_equations!J14="D",1,"NULL"))))))</f>
        <v>2</v>
      </c>
      <c r="K14" s="40">
        <f>IF(score_l_equations!K14="A",5,IF(score_l_equations!K14="B",4,IF(score_l_equations!K14="B",4,IF(score_l_equations!K14="C",3,IF(score_l_equations!K14="C-",2,IF(score_l_equations!K14="D",1,"NULL"))))))</f>
        <v>4</v>
      </c>
      <c r="L14" s="40">
        <f>IF(score_l_equations!L14="A",5,IF(score_l_equations!L14="B",4,IF(score_l_equations!L14="B",4,IF(score_l_equations!L14="C",3,IF(score_l_equations!L14="C-",2,IF(score_l_equations!L14="D",1,"NULL"))))))</f>
        <v>4</v>
      </c>
      <c r="M14" s="40">
        <f>IF(score_l_equations!M14="A",5,IF(score_l_equations!M14="B",4,IF(score_l_equations!M14="B",4,IF(score_l_equations!M14="C",3,IF(score_l_equations!M14="C-",2,IF(score_l_equations!M14="D",1,"NULL"))))))</f>
        <v>5</v>
      </c>
      <c r="N14" s="40" t="str">
        <f>IF(score_l_equations!N14="A",5,IF(score_l_equations!N14="B",4,IF(score_l_equations!N14="B",4,IF(score_l_equations!N14="C",3,IF(score_l_equations!N14="C-",2,IF(score_l_equations!N14="D",1,"NULL"))))))</f>
        <v>NULL</v>
      </c>
      <c r="O14" s="40" t="str">
        <f>IF(score_l_equations!O14="A",5,IF(score_l_equations!O14="B",4,IF(score_l_equations!O14="B",4,IF(score_l_equations!O14="C",3,IF(score_l_equations!O14="C-",2,IF(score_l_equations!O14="D",1,"NULL"))))))</f>
        <v>NULL</v>
      </c>
      <c r="P14" s="44">
        <f t="shared" si="2"/>
        <v>3.75</v>
      </c>
      <c r="Q14" s="40">
        <f>IF(score_l_equations!Q14="A",5,IF(score_l_equations!Q14="B",4,IF(score_l_equations!Q14="C",3,IF(score_l_equations!Q14="D",1,"NULL"))))</f>
        <v>5</v>
      </c>
      <c r="R14" s="40">
        <f>IF(score_l_equations!R14="A",5,IF(score_l_equations!R14="B",4,IF(score_l_equations!R14="C",3,IF(score_l_equations!R14="D",1,"NULL"))))</f>
        <v>5</v>
      </c>
      <c r="S14" s="40">
        <f>IF(score_l_equations!S14="A",5,IF(score_l_equations!S14="B",4,IF(score_l_equations!S14="C",3,IF(score_l_equations!S14="D",1,"NULL"))))</f>
        <v>5</v>
      </c>
      <c r="T14" s="44">
        <f t="shared" si="3"/>
        <v>5</v>
      </c>
      <c r="U14" s="40">
        <f>IF(score_l_equations!U14="A",5,IF(score_l_equations!U14="B",4,IF(score_l_equations!U14="C",3,IF(score_l_equations!U14="D",1,"NULL"))))</f>
        <v>5</v>
      </c>
      <c r="V14" s="40">
        <f>IF(score_l_equations!V14="A",5,IF(score_l_equations!V14="B",4,IF(score_l_equations!V14="C",3,IF(score_l_equations!V14="D",1,"NULL"))))</f>
        <v>4</v>
      </c>
      <c r="W14" s="40">
        <f>IF(score_l_equations!W14="A",5,IF(score_l_equations!W14="B",4,IF(score_l_equations!W14="C",3,IF(score_l_equations!W14="D",1,"NULL"))))</f>
        <v>4</v>
      </c>
      <c r="X14" s="45">
        <f t="shared" si="4"/>
        <v>4.333333333333333</v>
      </c>
      <c r="Y14" s="40">
        <f>IF(score_l_equations!Y14="A",5,IF(score_l_equations!Y14="B",4,IF(score_l_equations!Y14="C",3,IF(score_l_equations!Y14="D",1,"NULL"))))</f>
        <v>5</v>
      </c>
      <c r="Z14" s="40">
        <f>IF(score_l_equations!Z14="A",5,IF(score_l_equations!Z14="B",4,IF(score_l_equations!Z14="C",3,IF(score_l_equations!Z14="D",1,"NULL"))))</f>
        <v>5</v>
      </c>
      <c r="AA14" s="58">
        <f t="shared" si="5"/>
        <v>5</v>
      </c>
      <c r="AB14" s="49">
        <f t="shared" si="6"/>
        <v>4.3330890484692217</v>
      </c>
      <c r="AC14" s="49">
        <f t="shared" si="7"/>
        <v>4.2458333333333336</v>
      </c>
      <c r="AD14" s="53">
        <f t="shared" si="8"/>
        <v>4.2720100478741001</v>
      </c>
      <c r="AE14" s="53">
        <f t="shared" si="9"/>
        <v>4.7720100478741001</v>
      </c>
      <c r="AF14">
        <f t="shared" si="10"/>
        <v>0.5</v>
      </c>
    </row>
    <row r="15" spans="1:34" x14ac:dyDescent="0.25">
      <c r="A15" s="33">
        <v>1717</v>
      </c>
      <c r="B15" s="40">
        <f>IF(score_l_equations!B15="A",5,IF(score_l_equations!B15="B",4,IF(score_l_equations!B15="C",3,IF(score_l_equations!B15="D",1,"NULL"))))</f>
        <v>3</v>
      </c>
      <c r="C15" s="40">
        <f>IF(score_l_equations!C15="A",5,IF(score_l_equations!C15="B",4,IF(score_l_equations!C15="C",3,IF(score_l_equations!C15="D",1,"NULL"))))</f>
        <v>4</v>
      </c>
      <c r="D15" s="45">
        <f t="shared" si="1"/>
        <v>3.5</v>
      </c>
      <c r="E15" s="40">
        <f>IF(score_l_equations!E15="A",5,IF(score_l_equations!E15="B",4,IF(score_l_equations!E15="C",3,IF(score_l_equations!E15="D",1,"NULL"))))</f>
        <v>4</v>
      </c>
      <c r="F15" s="40">
        <f>IF(score_l_equations!F15="A",5,IF(score_l_equations!F15="B",4,IF(score_l_equations!F15="C",3,IF(score_l_equations!F15="D",1,"NULL"))))</f>
        <v>3</v>
      </c>
      <c r="G15" s="40">
        <f>IF(score_l_equations!G15="A",5,IF(score_l_equations!G15="B",4,IF(score_l_equations!G15="C",3,IF(score_l_equations!G15="D",1,"NULL"))))</f>
        <v>4</v>
      </c>
      <c r="H15" s="40">
        <f>IF(score_l_equations!H15="A",5,IF(score_l_equations!H15="B",4,IF(score_l_equations!H15="C",3,IF(score_l_equations!H15="D",1,"NULL"))))</f>
        <v>3</v>
      </c>
      <c r="I15" s="44">
        <f t="shared" si="11"/>
        <v>3.482004545227094</v>
      </c>
      <c r="J15" s="40">
        <f>IF(score_l_equations!J15="A",5,IF(score_l_equations!J15="B",4,IF(score_l_equations!J15="B",4,IF(score_l_equations!J15="C",3,IF(score_l_equations!J15="C-",2,IF(score_l_equations!J15="D",1,"NULL"))))))</f>
        <v>2</v>
      </c>
      <c r="K15" s="40">
        <f>IF(score_l_equations!K15="A",5,IF(score_l_equations!K15="B",4,IF(score_l_equations!K15="B",4,IF(score_l_equations!K15="C",3,IF(score_l_equations!K15="C-",2,IF(score_l_equations!K15="D",1,"NULL"))))))</f>
        <v>3</v>
      </c>
      <c r="L15" s="40">
        <f>IF(score_l_equations!L15="A",5,IF(score_l_equations!L15="B",4,IF(score_l_equations!L15="B",4,IF(score_l_equations!L15="C",3,IF(score_l_equations!L15="C-",2,IF(score_l_equations!L15="D",1,"NULL"))))))</f>
        <v>4</v>
      </c>
      <c r="M15" s="40">
        <f>IF(score_l_equations!M15="A",5,IF(score_l_equations!M15="B",4,IF(score_l_equations!M15="B",4,IF(score_l_equations!M15="C",3,IF(score_l_equations!M15="C-",2,IF(score_l_equations!M15="D",1,"NULL"))))))</f>
        <v>5</v>
      </c>
      <c r="N15" s="40" t="str">
        <f>IF(score_l_equations!N15="A",5,IF(score_l_equations!N15="B",4,IF(score_l_equations!N15="B",4,IF(score_l_equations!N15="C",3,IF(score_l_equations!N15="C-",2,IF(score_l_equations!N15="D",1,"NULL"))))))</f>
        <v>NULL</v>
      </c>
      <c r="O15" s="40" t="str">
        <f>IF(score_l_equations!O15="A",5,IF(score_l_equations!O15="B",4,IF(score_l_equations!O15="B",4,IF(score_l_equations!O15="C",3,IF(score_l_equations!O15="C-",2,IF(score_l_equations!O15="D",1,"NULL"))))))</f>
        <v>NULL</v>
      </c>
      <c r="P15" s="44">
        <f t="shared" si="2"/>
        <v>3.5</v>
      </c>
      <c r="Q15" s="40">
        <f>IF(score_l_equations!Q15="A",5,IF(score_l_equations!Q15="B",4,IF(score_l_equations!Q15="C",3,IF(score_l_equations!Q15="D",1,"NULL"))))</f>
        <v>1</v>
      </c>
      <c r="R15" s="40">
        <f>IF(score_l_equations!R15="A",5,IF(score_l_equations!R15="B",4,IF(score_l_equations!R15="C",3,IF(score_l_equations!R15="D",1,"NULL"))))</f>
        <v>1</v>
      </c>
      <c r="S15" s="40">
        <f>IF(score_l_equations!S15="A",5,IF(score_l_equations!S15="B",4,IF(score_l_equations!S15="C",3,IF(score_l_equations!S15="D",1,"NULL"))))</f>
        <v>3</v>
      </c>
      <c r="T15" s="44">
        <f t="shared" si="3"/>
        <v>1.6666666666666667</v>
      </c>
      <c r="U15" s="40">
        <f>IF(score_l_equations!U15="A",5,IF(score_l_equations!U15="B",4,IF(score_l_equations!U15="C",3,IF(score_l_equations!U15="D",1,"NULL"))))</f>
        <v>4</v>
      </c>
      <c r="V15" s="40">
        <f>IF(score_l_equations!V15="A",5,IF(score_l_equations!V15="B",4,IF(score_l_equations!V15="C",3,IF(score_l_equations!V15="D",1,"NULL"))))</f>
        <v>5</v>
      </c>
      <c r="W15" s="40">
        <f>IF(score_l_equations!W15="A",5,IF(score_l_equations!W15="B",4,IF(score_l_equations!W15="C",3,IF(score_l_equations!W15="D",1,"NULL"))))</f>
        <v>5</v>
      </c>
      <c r="X15" s="45">
        <f t="shared" si="4"/>
        <v>4.666666666666667</v>
      </c>
      <c r="Y15" s="40">
        <f>IF(score_l_equations!Y15="A",5,IF(score_l_equations!Y15="B",4,IF(score_l_equations!Y15="C",3,IF(score_l_equations!Y15="D",1,"NULL"))))</f>
        <v>5</v>
      </c>
      <c r="Z15" s="40">
        <f>IF(score_l_equations!Z15="A",5,IF(score_l_equations!Z15="B",4,IF(score_l_equations!Z15="C",3,IF(score_l_equations!Z15="D",1,"NULL"))))</f>
        <v>5</v>
      </c>
      <c r="AA15" s="58">
        <f t="shared" si="5"/>
        <v>5</v>
      </c>
      <c r="AB15" s="49">
        <f t="shared" si="6"/>
        <v>3.4879430453021536</v>
      </c>
      <c r="AC15" s="49">
        <f t="shared" si="7"/>
        <v>2.9750000000000005</v>
      </c>
      <c r="AD15" s="53">
        <f t="shared" si="8"/>
        <v>3.1288829135906466</v>
      </c>
      <c r="AE15" s="53">
        <f t="shared" si="9"/>
        <v>3.6288829135906466</v>
      </c>
      <c r="AF15">
        <f t="shared" si="10"/>
        <v>0.5</v>
      </c>
    </row>
    <row r="16" spans="1:34" x14ac:dyDescent="0.25">
      <c r="A16" s="33">
        <v>1729</v>
      </c>
      <c r="B16" s="40">
        <f>IF(score_l_equations!B16="A",5,IF(score_l_equations!B16="B",4,IF(score_l_equations!B16="C",3,IF(score_l_equations!B16="D",1,"NULL"))))</f>
        <v>3</v>
      </c>
      <c r="C16" s="40">
        <f>IF(score_l_equations!C16="A",5,IF(score_l_equations!C16="B",4,IF(score_l_equations!C16="C",3,IF(score_l_equations!C16="D",1,"NULL"))))</f>
        <v>1</v>
      </c>
      <c r="D16" s="45">
        <f t="shared" si="1"/>
        <v>2</v>
      </c>
      <c r="E16" s="40">
        <f>IF(score_l_equations!E16="A",5,IF(score_l_equations!E16="B",4,IF(score_l_equations!E16="C",3,IF(score_l_equations!E16="D",1,"NULL"))))</f>
        <v>5</v>
      </c>
      <c r="F16" s="40">
        <f>IF(score_l_equations!F16="A",5,IF(score_l_equations!F16="B",4,IF(score_l_equations!F16="C",3,IF(score_l_equations!F16="D",1,"NULL"))))</f>
        <v>3</v>
      </c>
      <c r="G16" s="40">
        <f>IF(score_l_equations!G16="A",5,IF(score_l_equations!G16="B",4,IF(score_l_equations!G16="C",3,IF(score_l_equations!G16="D",1,"NULL"))))</f>
        <v>4</v>
      </c>
      <c r="H16" s="40">
        <f>IF(score_l_equations!H16="A",5,IF(score_l_equations!H16="B",4,IF(score_l_equations!H16="C",3,IF(score_l_equations!H16="D",1,"NULL"))))</f>
        <v>3</v>
      </c>
      <c r="I16" s="44">
        <f t="shared" si="11"/>
        <v>3.6817715452925595</v>
      </c>
      <c r="J16" s="40">
        <f>IF(score_l_equations!J16="A",5,IF(score_l_equations!J16="B",4,IF(score_l_equations!J16="B",4,IF(score_l_equations!J16="C",3,IF(score_l_equations!J16="C-",2,IF(score_l_equations!J16="D",1,"NULL"))))))</f>
        <v>3</v>
      </c>
      <c r="K16" s="40">
        <f>IF(score_l_equations!K16="A",5,IF(score_l_equations!K16="B",4,IF(score_l_equations!K16="B",4,IF(score_l_equations!K16="C",3,IF(score_l_equations!K16="C-",2,IF(score_l_equations!K16="D",1,"NULL"))))))</f>
        <v>3</v>
      </c>
      <c r="L16" s="40">
        <f>IF(score_l_equations!L16="A",5,IF(score_l_equations!L16="B",4,IF(score_l_equations!L16="B",4,IF(score_l_equations!L16="C",3,IF(score_l_equations!L16="C-",2,IF(score_l_equations!L16="D",1,"NULL"))))))</f>
        <v>3</v>
      </c>
      <c r="M16" s="40">
        <f>IF(score_l_equations!M16="A",5,IF(score_l_equations!M16="B",4,IF(score_l_equations!M16="B",4,IF(score_l_equations!M16="C",3,IF(score_l_equations!M16="C-",2,IF(score_l_equations!M16="D",1,"NULL"))))))</f>
        <v>3</v>
      </c>
      <c r="N16" s="40" t="str">
        <f>IF(score_l_equations!N16="A",5,IF(score_l_equations!N16="B",4,IF(score_l_equations!N16="B",4,IF(score_l_equations!N16="C",3,IF(score_l_equations!N16="C-",2,IF(score_l_equations!N16="D",1,"NULL"))))))</f>
        <v>NULL</v>
      </c>
      <c r="O16" s="40" t="str">
        <f>IF(score_l_equations!O16="A",5,IF(score_l_equations!O16="B",4,IF(score_l_equations!O16="B",4,IF(score_l_equations!O16="C",3,IF(score_l_equations!O16="C-",2,IF(score_l_equations!O16="D",1,"NULL"))))))</f>
        <v>NULL</v>
      </c>
      <c r="P16" s="44">
        <f t="shared" si="2"/>
        <v>3</v>
      </c>
      <c r="Q16" s="40">
        <f>IF(score_l_equations!Q16="A",5,IF(score_l_equations!Q16="B",4,IF(score_l_equations!Q16="C",3,IF(score_l_equations!Q16="D",1,"NULL"))))</f>
        <v>5</v>
      </c>
      <c r="R16" s="40">
        <f>IF(score_l_equations!R16="A",5,IF(score_l_equations!R16="B",4,IF(score_l_equations!R16="C",3,IF(score_l_equations!R16="D",1,"NULL"))))</f>
        <v>3</v>
      </c>
      <c r="S16" s="40">
        <f>IF(score_l_equations!S16="A",5,IF(score_l_equations!S16="B",4,IF(score_l_equations!S16="C",3,IF(score_l_equations!S16="D",1,"NULL"))))</f>
        <v>3</v>
      </c>
      <c r="T16" s="44">
        <f t="shared" si="3"/>
        <v>3.6666666666666665</v>
      </c>
      <c r="U16" s="40">
        <f>IF(score_l_equations!U16="A",5,IF(score_l_equations!U16="B",4,IF(score_l_equations!U16="C",3,IF(score_l_equations!U16="D",1,"NULL"))))</f>
        <v>3</v>
      </c>
      <c r="V16" s="40">
        <f>IF(score_l_equations!V16="A",5,IF(score_l_equations!V16="B",4,IF(score_l_equations!V16="C",3,IF(score_l_equations!V16="D",1,"NULL"))))</f>
        <v>5</v>
      </c>
      <c r="W16" s="40">
        <f>IF(score_l_equations!W16="A",5,IF(score_l_equations!W16="B",4,IF(score_l_equations!W16="C",3,IF(score_l_equations!W16="D",1,"NULL"))))</f>
        <v>4</v>
      </c>
      <c r="X16" s="45">
        <f t="shared" si="4"/>
        <v>4</v>
      </c>
      <c r="Y16" s="40">
        <f>IF(score_l_equations!Y16="A",5,IF(score_l_equations!Y16="B",4,IF(score_l_equations!Y16="C",3,IF(score_l_equations!Y16="D",1,"NULL"))))</f>
        <v>4</v>
      </c>
      <c r="Z16" s="40">
        <f>IF(score_l_equations!Z16="A",5,IF(score_l_equations!Z16="B",4,IF(score_l_equations!Z16="C",3,IF(score_l_equations!Z16="D",1,"NULL"))))</f>
        <v>5</v>
      </c>
      <c r="AA16" s="58">
        <f t="shared" si="5"/>
        <v>4.5</v>
      </c>
      <c r="AB16" s="49">
        <f t="shared" si="6"/>
        <v>3.1267869353460149</v>
      </c>
      <c r="AC16" s="49">
        <f t="shared" si="7"/>
        <v>3.3333333333333335</v>
      </c>
      <c r="AD16" s="53">
        <f t="shared" si="8"/>
        <v>3.2713694139371379</v>
      </c>
      <c r="AE16" s="53">
        <f t="shared" si="9"/>
        <v>3.7713694139371379</v>
      </c>
      <c r="AF16">
        <f t="shared" si="10"/>
        <v>0.5</v>
      </c>
    </row>
    <row r="17" spans="1:32" x14ac:dyDescent="0.25">
      <c r="A17" s="33">
        <v>1731</v>
      </c>
      <c r="B17" s="40">
        <f>IF(score_l_equations!B17="A",5,IF(score_l_equations!B17="B",4,IF(score_l_equations!B17="C",3,IF(score_l_equations!B17="D",1,"NULL"))))</f>
        <v>4</v>
      </c>
      <c r="C17" s="40">
        <f>IF(score_l_equations!C17="A",5,IF(score_l_equations!C17="B",4,IF(score_l_equations!C17="C",3,IF(score_l_equations!C17="D",1,"NULL"))))</f>
        <v>4</v>
      </c>
      <c r="D17" s="45">
        <f t="shared" si="1"/>
        <v>4</v>
      </c>
      <c r="E17" s="40">
        <f>IF(score_l_equations!E17="A",5,IF(score_l_equations!E17="B",4,IF(score_l_equations!E17="C",3,IF(score_l_equations!E17="D",1,"NULL"))))</f>
        <v>4</v>
      </c>
      <c r="F17" s="40">
        <f>IF(score_l_equations!F17="A",5,IF(score_l_equations!F17="B",4,IF(score_l_equations!F17="C",3,IF(score_l_equations!F17="D",1,"NULL"))))</f>
        <v>4</v>
      </c>
      <c r="G17" s="40">
        <f>IF(score_l_equations!G17="A",5,IF(score_l_equations!G17="B",4,IF(score_l_equations!G17="C",3,IF(score_l_equations!G17="D",1,"NULL"))))</f>
        <v>1</v>
      </c>
      <c r="H17" s="40">
        <f>IF(score_l_equations!H17="A",5,IF(score_l_equations!H17="B",4,IF(score_l_equations!H17="C",3,IF(score_l_equations!H17="D",1,"NULL"))))</f>
        <v>3</v>
      </c>
      <c r="I17" s="44">
        <f t="shared" si="11"/>
        <v>2.8284271247461903</v>
      </c>
      <c r="J17" s="40">
        <f>IF(score_l_equations!J17="A",5,IF(score_l_equations!J17="B",4,IF(score_l_equations!J17="B",4,IF(score_l_equations!J17="C",3,IF(score_l_equations!J17="C-",2,IF(score_l_equations!J17="D",1,"NULL"))))))</f>
        <v>1</v>
      </c>
      <c r="K17" s="40">
        <f>IF(score_l_equations!K17="A",5,IF(score_l_equations!K17="B",4,IF(score_l_equations!K17="B",4,IF(score_l_equations!K17="C",3,IF(score_l_equations!K17="C-",2,IF(score_l_equations!K17="D",1,"NULL"))))))</f>
        <v>3</v>
      </c>
      <c r="L17" s="40">
        <f>IF(score_l_equations!L17="A",5,IF(score_l_equations!L17="B",4,IF(score_l_equations!L17="B",4,IF(score_l_equations!L17="C",3,IF(score_l_equations!L17="C-",2,IF(score_l_equations!L17="D",1,"NULL"))))))</f>
        <v>1</v>
      </c>
      <c r="M17" s="40">
        <f>IF(score_l_equations!M17="A",5,IF(score_l_equations!M17="B",4,IF(score_l_equations!M17="B",4,IF(score_l_equations!M17="C",3,IF(score_l_equations!M17="C-",2,IF(score_l_equations!M17="D",1,"NULL"))))))</f>
        <v>3</v>
      </c>
      <c r="N17" s="40" t="str">
        <f>IF(score_l_equations!N17="A",5,IF(score_l_equations!N17="B",4,IF(score_l_equations!N17="B",4,IF(score_l_equations!N17="C",3,IF(score_l_equations!N17="C-",2,IF(score_l_equations!N17="D",1,"NULL"))))))</f>
        <v>NULL</v>
      </c>
      <c r="O17" s="40" t="str">
        <f>IF(score_l_equations!O17="A",5,IF(score_l_equations!O17="B",4,IF(score_l_equations!O17="B",4,IF(score_l_equations!O17="C",3,IF(score_l_equations!O17="C-",2,IF(score_l_equations!O17="D",1,"NULL"))))))</f>
        <v>NULL</v>
      </c>
      <c r="P17" s="44">
        <f t="shared" si="2"/>
        <v>2</v>
      </c>
      <c r="Q17" s="40">
        <f>IF(score_l_equations!Q17="A",5,IF(score_l_equations!Q17="B",4,IF(score_l_equations!Q17="C",3,IF(score_l_equations!Q17="D",1,"NULL"))))</f>
        <v>5</v>
      </c>
      <c r="R17" s="40">
        <f>IF(score_l_equations!R17="A",5,IF(score_l_equations!R17="B",4,IF(score_l_equations!R17="C",3,IF(score_l_equations!R17="D",1,"NULL"))))</f>
        <v>3</v>
      </c>
      <c r="S17" s="40">
        <f>IF(score_l_equations!S17="A",5,IF(score_l_equations!S17="B",4,IF(score_l_equations!S17="C",3,IF(score_l_equations!S17="D",1,"NULL"))))</f>
        <v>3</v>
      </c>
      <c r="T17" s="44">
        <f t="shared" si="3"/>
        <v>3.6666666666666665</v>
      </c>
      <c r="U17" s="40">
        <f>IF(score_l_equations!U17="A",5,IF(score_l_equations!U17="B",4,IF(score_l_equations!U17="C",3,IF(score_l_equations!U17="D",1,"NULL"))))</f>
        <v>5</v>
      </c>
      <c r="V17" s="40">
        <f>IF(score_l_equations!V17="A",5,IF(score_l_equations!V17="B",4,IF(score_l_equations!V17="C",3,IF(score_l_equations!V17="D",1,"NULL"))))</f>
        <v>4</v>
      </c>
      <c r="W17" s="40">
        <f>IF(score_l_equations!W17="A",5,IF(score_l_equations!W17="B",4,IF(score_l_equations!W17="C",3,IF(score_l_equations!W17="D",1,"NULL"))))</f>
        <v>4</v>
      </c>
      <c r="X17" s="45">
        <f t="shared" si="4"/>
        <v>4.333333333333333</v>
      </c>
      <c r="Y17" s="40">
        <f>IF(score_l_equations!Y17="A",5,IF(score_l_equations!Y17="B",4,IF(score_l_equations!Y17="C",3,IF(score_l_equations!Y17="D",1,"NULL"))))</f>
        <v>4</v>
      </c>
      <c r="Z17" s="40">
        <f>IF(score_l_equations!Z17="A",5,IF(score_l_equations!Z17="B",4,IF(score_l_equations!Z17="C",3,IF(score_l_equations!Z17="D",1,"NULL"))))</f>
        <v>1</v>
      </c>
      <c r="AA17" s="58">
        <f t="shared" si="5"/>
        <v>2.5</v>
      </c>
      <c r="AB17" s="49">
        <f t="shared" si="6"/>
        <v>3.2150461735799478</v>
      </c>
      <c r="AC17" s="49">
        <f t="shared" si="7"/>
        <v>2.8166666666666664</v>
      </c>
      <c r="AD17" s="53">
        <f t="shared" si="8"/>
        <v>2.9361805187406507</v>
      </c>
      <c r="AE17" s="53">
        <f t="shared" si="9"/>
        <v>3.1861805187406507</v>
      </c>
      <c r="AF17">
        <f t="shared" si="10"/>
        <v>0.25</v>
      </c>
    </row>
    <row r="18" spans="1:32" x14ac:dyDescent="0.25">
      <c r="A18" s="33">
        <v>1732</v>
      </c>
      <c r="B18" s="40">
        <f>IF(score_l_equations!B18="A",5,IF(score_l_equations!B18="B",4,IF(score_l_equations!B18="C",3,IF(score_l_equations!B18="D",1,"NULL"))))</f>
        <v>4</v>
      </c>
      <c r="C18" s="40">
        <f>IF(score_l_equations!C18="A",5,IF(score_l_equations!C18="B",4,IF(score_l_equations!C18="C",3,IF(score_l_equations!C18="D",1,"NULL"))))</f>
        <v>4</v>
      </c>
      <c r="D18" s="45">
        <f t="shared" si="1"/>
        <v>4</v>
      </c>
      <c r="E18" s="40">
        <f>IF(score_l_equations!E18="A",5,IF(score_l_equations!E18="B",4,IF(score_l_equations!E18="C",3,IF(score_l_equations!E18="D",1,"NULL"))))</f>
        <v>5</v>
      </c>
      <c r="F18" s="40">
        <f>IF(score_l_equations!F18="A",5,IF(score_l_equations!F18="B",4,IF(score_l_equations!F18="C",3,IF(score_l_equations!F18="D",1,"NULL"))))</f>
        <v>4</v>
      </c>
      <c r="G18" s="40">
        <f>IF(score_l_equations!G18="A",5,IF(score_l_equations!G18="B",4,IF(score_l_equations!G18="C",3,IF(score_l_equations!G18="D",1,"NULL"))))</f>
        <v>3</v>
      </c>
      <c r="H18" s="40">
        <f>IF(score_l_equations!H18="A",5,IF(score_l_equations!H18="B",4,IF(score_l_equations!H18="C",3,IF(score_l_equations!H18="D",1,"NULL"))))</f>
        <v>4</v>
      </c>
      <c r="I18" s="45">
        <f t="shared" si="11"/>
        <v>3.9563209984148822</v>
      </c>
      <c r="J18" s="40">
        <f>IF(score_l_equations!J18="A",5,IF(score_l_equations!J18="B",4,IF(score_l_equations!J18="B",4,IF(score_l_equations!J18="C",3,IF(score_l_equations!J18="C-",2,IF(score_l_equations!J18="D",1,"NULL"))))))</f>
        <v>1</v>
      </c>
      <c r="K18" s="40">
        <f>IF(score_l_equations!K18="A",5,IF(score_l_equations!K18="B",4,IF(score_l_equations!K18="B",4,IF(score_l_equations!K18="C",3,IF(score_l_equations!K18="C-",2,IF(score_l_equations!K18="D",1,"NULL"))))))</f>
        <v>2</v>
      </c>
      <c r="L18" s="40">
        <f>IF(score_l_equations!L18="A",5,IF(score_l_equations!L18="B",4,IF(score_l_equations!L18="B",4,IF(score_l_equations!L18="C",3,IF(score_l_equations!L18="C-",2,IF(score_l_equations!L18="D",1,"NULL"))))))</f>
        <v>3</v>
      </c>
      <c r="M18" s="40">
        <f>IF(score_l_equations!M18="A",5,IF(score_l_equations!M18="B",4,IF(score_l_equations!M18="B",4,IF(score_l_equations!M18="C",3,IF(score_l_equations!M18="C-",2,IF(score_l_equations!M18="D",1,"NULL"))))))</f>
        <v>3</v>
      </c>
      <c r="N18" s="40">
        <f>IF(score_l_equations!N18="A",5,IF(score_l_equations!N18="B",4,IF(score_l_equations!N18="B",4,IF(score_l_equations!N18="C",3,IF(score_l_equations!N18="C-",2,IF(score_l_equations!N18="D",1,"NULL"))))))</f>
        <v>3</v>
      </c>
      <c r="O18" s="40">
        <f>IF(score_l_equations!O18="A",5,IF(score_l_equations!O18="B",4,IF(score_l_equations!O18="B",4,IF(score_l_equations!O18="C",3,IF(score_l_equations!O18="C-",2,IF(score_l_equations!O18="D",1,"NULL"))))))</f>
        <v>5</v>
      </c>
      <c r="P18" s="45">
        <f t="shared" si="2"/>
        <v>2.8333333333333335</v>
      </c>
      <c r="Q18" s="40">
        <f>IF(score_l_equations!Q18="A",5,IF(score_l_equations!Q18="B",4,IF(score_l_equations!Q18="C",3,IF(score_l_equations!Q18="D",1,"NULL"))))</f>
        <v>5</v>
      </c>
      <c r="R18" s="40">
        <f>IF(score_l_equations!R18="A",5,IF(score_l_equations!R18="B",4,IF(score_l_equations!R18="C",3,IF(score_l_equations!R18="D",1,"NULL"))))</f>
        <v>4</v>
      </c>
      <c r="S18" s="40">
        <f>IF(score_l_equations!S18="A",5,IF(score_l_equations!S18="B",4,IF(score_l_equations!S18="C",3,IF(score_l_equations!S18="D",1,"NULL"))))</f>
        <v>3</v>
      </c>
      <c r="T18" s="44">
        <f t="shared" si="3"/>
        <v>4</v>
      </c>
      <c r="U18" s="40">
        <f>IF(score_l_equations!U18="A",5,IF(score_l_equations!U18="B",4,IF(score_l_equations!U18="C",3,IF(score_l_equations!U18="D",1,"NULL"))))</f>
        <v>4</v>
      </c>
      <c r="V18" s="40">
        <f>IF(score_l_equations!V18="A",5,IF(score_l_equations!V18="B",4,IF(score_l_equations!V18="C",3,IF(score_l_equations!V18="D",1,"NULL"))))</f>
        <v>4</v>
      </c>
      <c r="W18" s="40">
        <f>IF(score_l_equations!W18="A",5,IF(score_l_equations!W18="B",4,IF(score_l_equations!W18="C",3,IF(score_l_equations!W18="D",1,"NULL"))))</f>
        <v>5</v>
      </c>
      <c r="X18" s="45">
        <f t="shared" si="4"/>
        <v>4.333333333333333</v>
      </c>
      <c r="Y18" s="40">
        <f>IF(score_l_equations!Y18="A",5,IF(score_l_equations!Y18="B",4,IF(score_l_equations!Y18="C",3,IF(score_l_equations!Y18="D",1,"NULL"))))</f>
        <v>4</v>
      </c>
      <c r="Z18" s="40">
        <f>IF(score_l_equations!Z18="A",5,IF(score_l_equations!Z18="B",4,IF(score_l_equations!Z18="C",3,IF(score_l_equations!Z18="D",1,"NULL"))))</f>
        <v>3</v>
      </c>
      <c r="AA18" s="57">
        <f t="shared" si="5"/>
        <v>3.5</v>
      </c>
      <c r="AB18" s="49">
        <f t="shared" si="6"/>
        <v>3.9707350689379712</v>
      </c>
      <c r="AC18" s="49">
        <f t="shared" si="7"/>
        <v>3.3916666666666666</v>
      </c>
      <c r="AD18" s="53">
        <f t="shared" si="8"/>
        <v>3.5653871873480578</v>
      </c>
      <c r="AE18" s="53">
        <f t="shared" si="9"/>
        <v>4.0653871873480583</v>
      </c>
      <c r="AF18">
        <f t="shared" si="10"/>
        <v>0.5</v>
      </c>
    </row>
    <row r="19" spans="1:32" x14ac:dyDescent="0.25">
      <c r="A19" s="33">
        <v>1743</v>
      </c>
      <c r="B19" s="40">
        <f>IF(score_l_equations!B19="A",5,IF(score_l_equations!B19="B",4,IF(score_l_equations!B19="C",3,IF(score_l_equations!B19="D",1,"NULL"))))</f>
        <v>5</v>
      </c>
      <c r="C19" s="40">
        <f>IF(score_l_equations!C19="A",5,IF(score_l_equations!C19="B",4,IF(score_l_equations!C19="C",3,IF(score_l_equations!C19="D",1,"NULL"))))</f>
        <v>4</v>
      </c>
      <c r="D19" s="45">
        <f t="shared" si="1"/>
        <v>4.5</v>
      </c>
      <c r="E19" s="40">
        <f>IF(score_l_equations!E19="A",5,IF(score_l_equations!E19="B",4,IF(score_l_equations!E19="C",3,IF(score_l_equations!E19="D",1,"NULL"))))</f>
        <v>5</v>
      </c>
      <c r="F19" s="40">
        <f>IF(score_l_equations!F19="A",5,IF(score_l_equations!F19="B",4,IF(score_l_equations!F19="C",3,IF(score_l_equations!F19="D",1,"NULL"))))</f>
        <v>5</v>
      </c>
      <c r="G19" s="40">
        <f>IF(score_l_equations!G19="A",5,IF(score_l_equations!G19="B",4,IF(score_l_equations!G19="C",3,IF(score_l_equations!G19="D",1,"NULL"))))</f>
        <v>1</v>
      </c>
      <c r="H19" s="40">
        <f>IF(score_l_equations!H19="A",5,IF(score_l_equations!H19="B",4,IF(score_l_equations!H19="C",3,IF(score_l_equations!H19="D",1,"NULL"))))</f>
        <v>3</v>
      </c>
      <c r="I19" s="45">
        <f t="shared" si="11"/>
        <v>3.1622776601683795</v>
      </c>
      <c r="J19" s="40">
        <f>IF(score_l_equations!J19="A",5,IF(score_l_equations!J19="B",4,IF(score_l_equations!J19="B",4,IF(score_l_equations!J19="C",3,IF(score_l_equations!J19="C-",2,IF(score_l_equations!J19="D",1,"NULL"))))))</f>
        <v>3</v>
      </c>
      <c r="K19" s="40">
        <f>IF(score_l_equations!K19="A",5,IF(score_l_equations!K19="B",4,IF(score_l_equations!K19="B",4,IF(score_l_equations!K19="C",3,IF(score_l_equations!K19="C-",2,IF(score_l_equations!K19="D",1,"NULL"))))))</f>
        <v>4</v>
      </c>
      <c r="L19" s="40">
        <f>IF(score_l_equations!L19="A",5,IF(score_l_equations!L19="B",4,IF(score_l_equations!L19="B",4,IF(score_l_equations!L19="C",3,IF(score_l_equations!L19="C-",2,IF(score_l_equations!L19="D",1,"NULL"))))))</f>
        <v>5</v>
      </c>
      <c r="M19" s="40">
        <f>IF(score_l_equations!M19="A",5,IF(score_l_equations!M19="B",4,IF(score_l_equations!M19="B",4,IF(score_l_equations!M19="C",3,IF(score_l_equations!M19="C-",2,IF(score_l_equations!M19="D",1,"NULL"))))))</f>
        <v>5</v>
      </c>
      <c r="N19" s="40" t="str">
        <f>IF(score_l_equations!N19="A",5,IF(score_l_equations!N19="B",4,IF(score_l_equations!N19="B",4,IF(score_l_equations!N19="C",3,IF(score_l_equations!N19="C-",2,IF(score_l_equations!N19="D",1,"NULL"))))))</f>
        <v>NULL</v>
      </c>
      <c r="O19" s="40" t="str">
        <f>IF(score_l_equations!O19="A",5,IF(score_l_equations!O19="B",4,IF(score_l_equations!O19="B",4,IF(score_l_equations!O19="C",3,IF(score_l_equations!O19="C-",2,IF(score_l_equations!O19="D",1,"NULL"))))))</f>
        <v>NULL</v>
      </c>
      <c r="P19" s="45">
        <f t="shared" si="2"/>
        <v>4.25</v>
      </c>
      <c r="Q19" s="40">
        <f>IF(score_l_equations!Q19="A",5,IF(score_l_equations!Q19="B",4,IF(score_l_equations!Q19="C",3,IF(score_l_equations!Q19="D",1,"NULL"))))</f>
        <v>5</v>
      </c>
      <c r="R19" s="40">
        <f>IF(score_l_equations!R19="A",5,IF(score_l_equations!R19="B",4,IF(score_l_equations!R19="C",3,IF(score_l_equations!R19="D",1,"NULL"))))</f>
        <v>4</v>
      </c>
      <c r="S19" s="40">
        <f>IF(score_l_equations!S19="A",5,IF(score_l_equations!S19="B",4,IF(score_l_equations!S19="C",3,IF(score_l_equations!S19="D",1,"NULL"))))</f>
        <v>5</v>
      </c>
      <c r="T19" s="44">
        <f t="shared" si="3"/>
        <v>4.666666666666667</v>
      </c>
      <c r="U19" s="40">
        <f>IF(score_l_equations!U19="A",5,IF(score_l_equations!U19="B",4,IF(score_l_equations!U19="C",3,IF(score_l_equations!U19="D",1,"NULL"))))</f>
        <v>3</v>
      </c>
      <c r="V19" s="40">
        <f>IF(score_l_equations!V19="A",5,IF(score_l_equations!V19="B",4,IF(score_l_equations!V19="C",3,IF(score_l_equations!V19="D",1,"NULL"))))</f>
        <v>5</v>
      </c>
      <c r="W19" s="40">
        <f>IF(score_l_equations!W19="A",5,IF(score_l_equations!W19="B",4,IF(score_l_equations!W19="C",3,IF(score_l_equations!W19="D",1,"NULL"))))</f>
        <v>3</v>
      </c>
      <c r="X19" s="45">
        <f t="shared" si="4"/>
        <v>3.6666666666666665</v>
      </c>
      <c r="Y19" s="40">
        <f>IF(score_l_equations!Y19="A",5,IF(score_l_equations!Y19="B",4,IF(score_l_equations!Y19="C",3,IF(score_l_equations!Y19="D",1,"NULL"))))</f>
        <v>5</v>
      </c>
      <c r="Z19" s="40">
        <f>IF(score_l_equations!Z19="A",5,IF(score_l_equations!Z19="B",4,IF(score_l_equations!Z19="C",3,IF(score_l_equations!Z19="D",1,"NULL"))))</f>
        <v>5</v>
      </c>
      <c r="AA19" s="57">
        <f t="shared" si="5"/>
        <v>5</v>
      </c>
      <c r="AB19" s="49">
        <f t="shared" si="6"/>
        <v>3.6037260323128146</v>
      </c>
      <c r="AC19" s="49">
        <f t="shared" si="7"/>
        <v>4.3375000000000004</v>
      </c>
      <c r="AD19" s="53">
        <f t="shared" si="8"/>
        <v>4.1173678096938442</v>
      </c>
      <c r="AE19" s="53">
        <f t="shared" si="9"/>
        <v>4.6173678096938442</v>
      </c>
      <c r="AF19">
        <f t="shared" si="10"/>
        <v>0.5</v>
      </c>
    </row>
    <row r="20" spans="1:32" x14ac:dyDescent="0.25">
      <c r="A20" s="33">
        <v>1774</v>
      </c>
      <c r="B20" s="40">
        <f>IF(score_l_equations!B20="A",5,IF(score_l_equations!B20="B",4,IF(score_l_equations!B20="C",3,IF(score_l_equations!B20="D",1,"NULL"))))</f>
        <v>4</v>
      </c>
      <c r="C20" s="40">
        <f>IF(score_l_equations!C20="A",5,IF(score_l_equations!C20="B",4,IF(score_l_equations!C20="C",3,IF(score_l_equations!C20="D",1,"NULL"))))</f>
        <v>4</v>
      </c>
      <c r="D20" s="45">
        <f t="shared" si="1"/>
        <v>4</v>
      </c>
      <c r="E20" s="40">
        <f>IF(score_l_equations!E20="A",5,IF(score_l_equations!E20="B",4,IF(score_l_equations!E20="C",3,IF(score_l_equations!E20="D",1,"NULL"))))</f>
        <v>4</v>
      </c>
      <c r="F20" s="40">
        <f>IF(score_l_equations!F20="A",5,IF(score_l_equations!F20="B",4,IF(score_l_equations!F20="C",3,IF(score_l_equations!F20="D",1,"NULL"))))</f>
        <v>4</v>
      </c>
      <c r="G20" s="40">
        <f>IF(score_l_equations!G20="A",5,IF(score_l_equations!G20="B",4,IF(score_l_equations!G20="C",3,IF(score_l_equations!G20="D",1,"NULL"))))</f>
        <v>1</v>
      </c>
      <c r="H20" s="40">
        <f>IF(score_l_equations!H20="A",5,IF(score_l_equations!H20="B",4,IF(score_l_equations!H20="C",3,IF(score_l_equations!H20="D",1,"NULL"))))</f>
        <v>5</v>
      </c>
      <c r="I20" s="45">
        <f t="shared" si="11"/>
        <v>3.4641016151377544</v>
      </c>
      <c r="J20" s="40">
        <f>IF(score_l_equations!J20="A",5,IF(score_l_equations!J20="B",4,IF(score_l_equations!J20="B",4,IF(score_l_equations!J20="C",3,IF(score_l_equations!J20="C-",2,IF(score_l_equations!J20="D",1,"NULL"))))))</f>
        <v>3</v>
      </c>
      <c r="K20" s="40">
        <f>IF(score_l_equations!K20="A",5,IF(score_l_equations!K20="B",4,IF(score_l_equations!K20="B",4,IF(score_l_equations!K20="C",3,IF(score_l_equations!K20="C-",2,IF(score_l_equations!K20="D",1,"NULL"))))))</f>
        <v>4</v>
      </c>
      <c r="L20" s="40">
        <f>IF(score_l_equations!L20="A",5,IF(score_l_equations!L20="B",4,IF(score_l_equations!L20="B",4,IF(score_l_equations!L20="C",3,IF(score_l_equations!L20="C-",2,IF(score_l_equations!L20="D",1,"NULL"))))))</f>
        <v>5</v>
      </c>
      <c r="M20" s="40">
        <f>IF(score_l_equations!M20="A",5,IF(score_l_equations!M20="B",4,IF(score_l_equations!M20="B",4,IF(score_l_equations!M20="C",3,IF(score_l_equations!M20="C-",2,IF(score_l_equations!M20="D",1,"NULL"))))))</f>
        <v>5</v>
      </c>
      <c r="N20" s="40" t="str">
        <f>IF(score_l_equations!N20="A",5,IF(score_l_equations!N20="B",4,IF(score_l_equations!N20="B",4,IF(score_l_equations!N20="C",3,IF(score_l_equations!N20="C-",2,IF(score_l_equations!N20="D",1,"NULL"))))))</f>
        <v>NULL</v>
      </c>
      <c r="O20" s="40" t="str">
        <f>IF(score_l_equations!O20="A",5,IF(score_l_equations!O20="B",4,IF(score_l_equations!O20="B",4,IF(score_l_equations!O20="C",3,IF(score_l_equations!O20="C-",2,IF(score_l_equations!O20="D",1,"NULL"))))))</f>
        <v>NULL</v>
      </c>
      <c r="P20" s="45">
        <f t="shared" si="2"/>
        <v>4.25</v>
      </c>
      <c r="Q20" s="40">
        <f>IF(score_l_equations!Q20="A",5,IF(score_l_equations!Q20="B",4,IF(score_l_equations!Q20="C",3,IF(score_l_equations!Q20="D",1,"NULL"))))</f>
        <v>5</v>
      </c>
      <c r="R20" s="40">
        <f>IF(score_l_equations!R20="A",5,IF(score_l_equations!R20="B",4,IF(score_l_equations!R20="C",3,IF(score_l_equations!R20="D",1,"NULL"))))</f>
        <v>5</v>
      </c>
      <c r="S20" s="40">
        <f>IF(score_l_equations!S20="A",5,IF(score_l_equations!S20="B",4,IF(score_l_equations!S20="C",3,IF(score_l_equations!S20="D",1,"NULL"))))</f>
        <v>5</v>
      </c>
      <c r="T20" s="44">
        <f t="shared" si="3"/>
        <v>5</v>
      </c>
      <c r="U20" s="40">
        <f>IF(score_l_equations!U20="A",5,IF(score_l_equations!U20="B",4,IF(score_l_equations!U20="C",3,IF(score_l_equations!U20="D",1,"NULL"))))</f>
        <v>5</v>
      </c>
      <c r="V20" s="40">
        <f>IF(score_l_equations!V20="A",5,IF(score_l_equations!V20="B",4,IF(score_l_equations!V20="C",3,IF(score_l_equations!V20="D",1,"NULL"))))</f>
        <v>5</v>
      </c>
      <c r="W20" s="40">
        <f>IF(score_l_equations!W20="A",5,IF(score_l_equations!W20="B",4,IF(score_l_equations!W20="C",3,IF(score_l_equations!W20="D",1,"NULL"))))</f>
        <v>5</v>
      </c>
      <c r="X20" s="45">
        <f t="shared" si="4"/>
        <v>5</v>
      </c>
      <c r="Y20" s="40">
        <f>IF(score_l_equations!Y20="A",5,IF(score_l_equations!Y20="B",4,IF(score_l_equations!Y20="C",3,IF(score_l_equations!Y20="D",1,"NULL"))))</f>
        <v>5</v>
      </c>
      <c r="Z20" s="40">
        <f>IF(score_l_equations!Z20="A",5,IF(score_l_equations!Z20="B",4,IF(score_l_equations!Z20="C",3,IF(score_l_equations!Z20="D",1,"NULL"))))</f>
        <v>3</v>
      </c>
      <c r="AA20" s="57">
        <f t="shared" si="5"/>
        <v>4</v>
      </c>
      <c r="AB20" s="49">
        <f t="shared" si="6"/>
        <v>3.6409480821422955</v>
      </c>
      <c r="AC20" s="49">
        <f t="shared" si="7"/>
        <v>4.5875000000000004</v>
      </c>
      <c r="AD20" s="53">
        <f t="shared" si="8"/>
        <v>4.303534424642689</v>
      </c>
      <c r="AE20" s="53">
        <f t="shared" si="9"/>
        <v>4.803534424642689</v>
      </c>
      <c r="AF20">
        <f t="shared" si="10"/>
        <v>0.5</v>
      </c>
    </row>
    <row r="21" spans="1:32" x14ac:dyDescent="0.25">
      <c r="A21" s="33">
        <v>1785</v>
      </c>
      <c r="B21" s="40">
        <f>IF(score_l_equations!B21="A",5,IF(score_l_equations!B21="B",4,IF(score_l_equations!B21="C",3,IF(score_l_equations!B21="D",1,"NULL"))))</f>
        <v>4</v>
      </c>
      <c r="C21" s="40">
        <f>IF(score_l_equations!C21="A",5,IF(score_l_equations!C21="B",4,IF(score_l_equations!C21="C",3,IF(score_l_equations!C21="D",1,"NULL"))))</f>
        <v>4</v>
      </c>
      <c r="D21" s="45">
        <f t="shared" si="1"/>
        <v>4</v>
      </c>
      <c r="E21" s="40">
        <f>IF(score_l_equations!E21="A",5,IF(score_l_equations!E21="B",4,IF(score_l_equations!E21="C",3,IF(score_l_equations!E21="D",1,"NULL"))))</f>
        <v>4</v>
      </c>
      <c r="F21" s="40">
        <f>IF(score_l_equations!F21="A",5,IF(score_l_equations!F21="B",4,IF(score_l_equations!F21="C",3,IF(score_l_equations!F21="D",1,"NULL"))))</f>
        <v>5</v>
      </c>
      <c r="G21" s="40">
        <f>IF(score_l_equations!G21="A",5,IF(score_l_equations!G21="B",4,IF(score_l_equations!G21="C",3,IF(score_l_equations!G21="D",1,"NULL"))))</f>
        <v>3</v>
      </c>
      <c r="H21" s="40">
        <f>IF(score_l_equations!H21="A",5,IF(score_l_equations!H21="B",4,IF(score_l_equations!H21="C",3,IF(score_l_equations!H21="D",1,"NULL"))))</f>
        <v>5</v>
      </c>
      <c r="I21" s="45">
        <f t="shared" si="11"/>
        <v>4.2294850537622564</v>
      </c>
      <c r="J21" s="40">
        <f>IF(score_l_equations!J21="A",5,IF(score_l_equations!J21="B",4,IF(score_l_equations!J21="B",4,IF(score_l_equations!J21="C",3,IF(score_l_equations!J21="C-",2,IF(score_l_equations!J21="D",1,"NULL"))))))</f>
        <v>3</v>
      </c>
      <c r="K21" s="40">
        <f>IF(score_l_equations!K21="A",5,IF(score_l_equations!K21="B",4,IF(score_l_equations!K21="B",4,IF(score_l_equations!K21="C",3,IF(score_l_equations!K21="C-",2,IF(score_l_equations!K21="D",1,"NULL"))))))</f>
        <v>4</v>
      </c>
      <c r="L21" s="40">
        <f>IF(score_l_equations!L21="A",5,IF(score_l_equations!L21="B",4,IF(score_l_equations!L21="B",4,IF(score_l_equations!L21="C",3,IF(score_l_equations!L21="C-",2,IF(score_l_equations!L21="D",1,"NULL"))))))</f>
        <v>4</v>
      </c>
      <c r="M21" s="40">
        <f>IF(score_l_equations!M21="A",5,IF(score_l_equations!M21="B",4,IF(score_l_equations!M21="B",4,IF(score_l_equations!M21="C",3,IF(score_l_equations!M21="C-",2,IF(score_l_equations!M21="D",1,"NULL"))))))</f>
        <v>5</v>
      </c>
      <c r="N21" s="40" t="str">
        <f>IF(score_l_equations!N21="A",5,IF(score_l_equations!N21="B",4,IF(score_l_equations!N21="B",4,IF(score_l_equations!N21="C",3,IF(score_l_equations!N21="C-",2,IF(score_l_equations!N21="D",1,"NULL"))))))</f>
        <v>NULL</v>
      </c>
      <c r="O21" s="40" t="str">
        <f>IF(score_l_equations!O21="A",5,IF(score_l_equations!O21="B",4,IF(score_l_equations!O21="B",4,IF(score_l_equations!O21="C",3,IF(score_l_equations!O21="C-",2,IF(score_l_equations!O21="D",1,"NULL"))))))</f>
        <v>NULL</v>
      </c>
      <c r="P21" s="45">
        <f t="shared" si="2"/>
        <v>4</v>
      </c>
      <c r="Q21" s="40">
        <f>IF(score_l_equations!Q21="A",5,IF(score_l_equations!Q21="B",4,IF(score_l_equations!Q21="C",3,IF(score_l_equations!Q21="D",1,"NULL"))))</f>
        <v>5</v>
      </c>
      <c r="R21" s="40">
        <f>IF(score_l_equations!R21="A",5,IF(score_l_equations!R21="B",4,IF(score_l_equations!R21="C",3,IF(score_l_equations!R21="D",1,"NULL"))))</f>
        <v>5</v>
      </c>
      <c r="S21" s="40">
        <f>IF(score_l_equations!S21="A",5,IF(score_l_equations!S21="B",4,IF(score_l_equations!S21="C",3,IF(score_l_equations!S21="D",1,"NULL"))))</f>
        <v>5</v>
      </c>
      <c r="T21" s="44">
        <f t="shared" si="3"/>
        <v>5</v>
      </c>
      <c r="U21" s="40">
        <f>IF(score_l_equations!U21="A",5,IF(score_l_equations!U21="B",4,IF(score_l_equations!U21="C",3,IF(score_l_equations!U21="D",1,"NULL"))))</f>
        <v>5</v>
      </c>
      <c r="V21" s="40">
        <f>IF(score_l_equations!V21="A",5,IF(score_l_equations!V21="B",4,IF(score_l_equations!V21="C",3,IF(score_l_equations!V21="D",1,"NULL"))))</f>
        <v>5</v>
      </c>
      <c r="W21" s="40">
        <f>IF(score_l_equations!W21="A",5,IF(score_l_equations!W21="B",4,IF(score_l_equations!W21="C",3,IF(score_l_equations!W21="D",1,"NULL"))))</f>
        <v>5</v>
      </c>
      <c r="X21" s="45">
        <f t="shared" si="4"/>
        <v>5</v>
      </c>
      <c r="Y21" s="40">
        <f>IF(score_l_equations!Y21="A",5,IF(score_l_equations!Y21="B",4,IF(score_l_equations!Y21="C",3,IF(score_l_equations!Y21="D",1,"NULL"))))</f>
        <v>5</v>
      </c>
      <c r="Z21" s="40">
        <f>IF(score_l_equations!Z21="A",5,IF(score_l_equations!Z21="B",4,IF(score_l_equations!Z21="C",3,IF(score_l_equations!Z21="D",1,"NULL"))))</f>
        <v>5</v>
      </c>
      <c r="AA21" s="57">
        <f t="shared" si="5"/>
        <v>5</v>
      </c>
      <c r="AB21" s="49">
        <f t="shared" si="6"/>
        <v>4.1537549860207124</v>
      </c>
      <c r="AC21" s="49">
        <f t="shared" si="7"/>
        <v>4.45</v>
      </c>
      <c r="AD21" s="53">
        <f t="shared" si="8"/>
        <v>4.3611264958062135</v>
      </c>
      <c r="AE21" s="53">
        <f t="shared" si="9"/>
        <v>4.8611264958062135</v>
      </c>
      <c r="AF21">
        <f t="shared" si="10"/>
        <v>0.5</v>
      </c>
    </row>
    <row r="22" spans="1:32" x14ac:dyDescent="0.25">
      <c r="A22" s="33">
        <v>1857</v>
      </c>
      <c r="B22" s="40">
        <f>IF(score_l_equations!B22="A",5,IF(score_l_equations!B22="B",4,IF(score_l_equations!B22="C",3,IF(score_l_equations!B22="D",1,"NULL"))))</f>
        <v>4</v>
      </c>
      <c r="C22" s="40">
        <f>IF(score_l_equations!C22="A",5,IF(score_l_equations!C22="B",4,IF(score_l_equations!C22="C",3,IF(score_l_equations!C22="D",1,"NULL"))))</f>
        <v>4</v>
      </c>
      <c r="D22" s="45">
        <f t="shared" si="1"/>
        <v>4</v>
      </c>
      <c r="E22" s="40">
        <f>IF(score_l_equations!E22="A",5,IF(score_l_equations!E22="B",4,IF(score_l_equations!E22="C",3,IF(score_l_equations!E22="D",1,"NULL"))))</f>
        <v>5</v>
      </c>
      <c r="F22" s="40">
        <f>IF(score_l_equations!F22="A",5,IF(score_l_equations!F22="B",4,IF(score_l_equations!F22="C",3,IF(score_l_equations!F22="D",1,"NULL"))))</f>
        <v>5</v>
      </c>
      <c r="G22" s="40">
        <f>IF(score_l_equations!G22="A",5,IF(score_l_equations!G22="B",4,IF(score_l_equations!G22="C",3,IF(score_l_equations!G22="D",1,"NULL"))))</f>
        <v>3</v>
      </c>
      <c r="H22" s="40">
        <f>IF(score_l_equations!H22="A",5,IF(score_l_equations!H22="B",4,IF(score_l_equations!H22="C",3,IF(score_l_equations!H22="D",1,"NULL"))))</f>
        <v>4</v>
      </c>
      <c r="I22" s="45">
        <f t="shared" si="11"/>
        <v>4.1833001326703778</v>
      </c>
      <c r="J22" s="40">
        <f>IF(score_l_equations!J22="A",5,IF(score_l_equations!J22="B",4,IF(score_l_equations!J22="B",4,IF(score_l_equations!J22="C",3,IF(score_l_equations!J22="C-",2,IF(score_l_equations!J22="D",1,"NULL"))))))</f>
        <v>4</v>
      </c>
      <c r="K22" s="40">
        <f>IF(score_l_equations!K22="A",5,IF(score_l_equations!K22="B",4,IF(score_l_equations!K22="B",4,IF(score_l_equations!K22="C",3,IF(score_l_equations!K22="C-",2,IF(score_l_equations!K22="D",1,"NULL"))))))</f>
        <v>4</v>
      </c>
      <c r="L22" s="40">
        <f>IF(score_l_equations!L22="A",5,IF(score_l_equations!L22="B",4,IF(score_l_equations!L22="B",4,IF(score_l_equations!L22="C",3,IF(score_l_equations!L22="C-",2,IF(score_l_equations!L22="D",1,"NULL"))))))</f>
        <v>5</v>
      </c>
      <c r="M22" s="40">
        <f>IF(score_l_equations!M22="A",5,IF(score_l_equations!M22="B",4,IF(score_l_equations!M22="B",4,IF(score_l_equations!M22="C",3,IF(score_l_equations!M22="C-",2,IF(score_l_equations!M22="D",1,"NULL"))))))</f>
        <v>5</v>
      </c>
      <c r="N22" s="40" t="str">
        <f>IF(score_l_equations!N22="A",5,IF(score_l_equations!N22="B",4,IF(score_l_equations!N22="B",4,IF(score_l_equations!N22="C",3,IF(score_l_equations!N22="C-",2,IF(score_l_equations!N22="D",1,"NULL"))))))</f>
        <v>NULL</v>
      </c>
      <c r="O22" s="40" t="str">
        <f>IF(score_l_equations!O22="A",5,IF(score_l_equations!O22="B",4,IF(score_l_equations!O22="B",4,IF(score_l_equations!O22="C",3,IF(score_l_equations!O22="C-",2,IF(score_l_equations!O22="D",1,"NULL"))))))</f>
        <v>NULL</v>
      </c>
      <c r="P22" s="45">
        <f t="shared" si="2"/>
        <v>4.5</v>
      </c>
      <c r="Q22" s="40">
        <f>IF(score_l_equations!Q22="A",5,IF(score_l_equations!Q22="B",4,IF(score_l_equations!Q22="C",3,IF(score_l_equations!Q22="D",1,"NULL"))))</f>
        <v>5</v>
      </c>
      <c r="R22" s="40">
        <f>IF(score_l_equations!R22="A",5,IF(score_l_equations!R22="B",4,IF(score_l_equations!R22="C",3,IF(score_l_equations!R22="D",1,"NULL"))))</f>
        <v>5</v>
      </c>
      <c r="S22" s="40">
        <f>IF(score_l_equations!S22="A",5,IF(score_l_equations!S22="B",4,IF(score_l_equations!S22="C",3,IF(score_l_equations!S22="D",1,"NULL"))))</f>
        <v>5</v>
      </c>
      <c r="T22" s="44">
        <f t="shared" si="3"/>
        <v>5</v>
      </c>
      <c r="U22" s="40">
        <f>IF(score_l_equations!U22="A",5,IF(score_l_equations!U22="B",4,IF(score_l_equations!U22="C",3,IF(score_l_equations!U22="D",1,"NULL"))))</f>
        <v>4</v>
      </c>
      <c r="V22" s="40" t="str">
        <f>IF(score_l_equations!V22="A",5,IF(score_l_equations!V22="B",4,IF(score_l_equations!V22="C",3,IF(score_l_equations!V22="D",1,"NULL"))))</f>
        <v>NULL</v>
      </c>
      <c r="W22" s="40" t="str">
        <f>IF(score_l_equations!W22="A",5,IF(score_l_equations!W22="B",4,IF(score_l_equations!W22="C",3,IF(score_l_equations!W22="D",1,"NULL"))))</f>
        <v>NULL</v>
      </c>
      <c r="X22" s="45">
        <f t="shared" si="4"/>
        <v>4</v>
      </c>
      <c r="Y22" s="40">
        <f>IF(score_l_equations!Y22="A",5,IF(score_l_equations!Y22="B",4,IF(score_l_equations!Y22="C",3,IF(score_l_equations!Y22="D",1,"NULL"))))</f>
        <v>4</v>
      </c>
      <c r="Z22" s="40">
        <f>IF(score_l_equations!Z22="A",5,IF(score_l_equations!Z22="B",4,IF(score_l_equations!Z22="C",3,IF(score_l_equations!Z22="D",1,"NULL"))))</f>
        <v>5</v>
      </c>
      <c r="AA22" s="57">
        <f t="shared" si="5"/>
        <v>4.5</v>
      </c>
      <c r="AB22" s="49">
        <f t="shared" si="6"/>
        <v>4.1228110888891534</v>
      </c>
      <c r="AC22" s="49">
        <f t="shared" si="7"/>
        <v>4.625</v>
      </c>
      <c r="AD22" s="53">
        <f t="shared" si="8"/>
        <v>4.4743433266667463</v>
      </c>
      <c r="AE22" s="53">
        <f t="shared" si="9"/>
        <v>4.9743433266667463</v>
      </c>
      <c r="AF22">
        <f t="shared" si="10"/>
        <v>0.5</v>
      </c>
    </row>
    <row r="23" spans="1:32" x14ac:dyDescent="0.25">
      <c r="A23" s="33">
        <v>1867</v>
      </c>
      <c r="B23" s="40">
        <f>IF(score_l_equations!B23="A",5,IF(score_l_equations!B23="B",4,IF(score_l_equations!B23="C",3,IF(score_l_equations!B23="D",1,"NULL"))))</f>
        <v>3</v>
      </c>
      <c r="C23" s="40">
        <f>IF(score_l_equations!C23="A",5,IF(score_l_equations!C23="B",4,IF(score_l_equations!C23="C",3,IF(score_l_equations!C23="D",1,"NULL"))))</f>
        <v>3</v>
      </c>
      <c r="D23" s="45">
        <f t="shared" si="1"/>
        <v>3</v>
      </c>
      <c r="E23" s="40">
        <f>IF(score_l_equations!E23="A",5,IF(score_l_equations!E23="B",4,IF(score_l_equations!E23="C",3,IF(score_l_equations!E23="D",1,"NULL"))))</f>
        <v>4</v>
      </c>
      <c r="F23" s="40">
        <f>IF(score_l_equations!F23="A",5,IF(score_l_equations!F23="B",4,IF(score_l_equations!F23="C",3,IF(score_l_equations!F23="D",1,"NULL"))))</f>
        <v>3</v>
      </c>
      <c r="G23" s="40">
        <f>IF(score_l_equations!G23="A",5,IF(score_l_equations!G23="B",4,IF(score_l_equations!G23="C",3,IF(score_l_equations!G23="D",1,"NULL"))))</f>
        <v>3</v>
      </c>
      <c r="H23" s="40">
        <f>IF(score_l_equations!H23="A",5,IF(score_l_equations!H23="B",4,IF(score_l_equations!H23="C",3,IF(score_l_equations!H23="D",1,"NULL"))))</f>
        <v>4</v>
      </c>
      <c r="I23" s="45">
        <f t="shared" si="11"/>
        <v>3.482004545227094</v>
      </c>
      <c r="J23" s="40">
        <f>IF(score_l_equations!J23="A",5,IF(score_l_equations!J23="B",4,IF(score_l_equations!J23="B",4,IF(score_l_equations!J23="C",3,IF(score_l_equations!J23="C-",2,IF(score_l_equations!J23="D",1,"NULL"))))))</f>
        <v>2</v>
      </c>
      <c r="K23" s="40">
        <f>IF(score_l_equations!K23="A",5,IF(score_l_equations!K23="B",4,IF(score_l_equations!K23="B",4,IF(score_l_equations!K23="C",3,IF(score_l_equations!K23="C-",2,IF(score_l_equations!K23="D",1,"NULL"))))))</f>
        <v>3</v>
      </c>
      <c r="L23" s="40">
        <f>IF(score_l_equations!L23="A",5,IF(score_l_equations!L23="B",4,IF(score_l_equations!L23="B",4,IF(score_l_equations!L23="C",3,IF(score_l_equations!L23="C-",2,IF(score_l_equations!L23="D",1,"NULL"))))))</f>
        <v>3</v>
      </c>
      <c r="M23" s="40">
        <f>IF(score_l_equations!M23="A",5,IF(score_l_equations!M23="B",4,IF(score_l_equations!M23="B",4,IF(score_l_equations!M23="C",3,IF(score_l_equations!M23="C-",2,IF(score_l_equations!M23="D",1,"NULL"))))))</f>
        <v>4</v>
      </c>
      <c r="N23" s="40">
        <f>IF(score_l_equations!N23="A",5,IF(score_l_equations!N23="B",4,IF(score_l_equations!N23="B",4,IF(score_l_equations!N23="C",3,IF(score_l_equations!N23="C-",2,IF(score_l_equations!N23="D",1,"NULL"))))))</f>
        <v>3</v>
      </c>
      <c r="O23" s="40">
        <f>IF(score_l_equations!O23="A",5,IF(score_l_equations!O23="B",4,IF(score_l_equations!O23="B",4,IF(score_l_equations!O23="C",3,IF(score_l_equations!O23="C-",2,IF(score_l_equations!O23="D",1,"NULL"))))))</f>
        <v>5</v>
      </c>
      <c r="P23" s="45">
        <f t="shared" si="2"/>
        <v>3.3333333333333335</v>
      </c>
      <c r="Q23" s="40">
        <f>IF(score_l_equations!Q23="A",5,IF(score_l_equations!Q23="B",4,IF(score_l_equations!Q23="C",3,IF(score_l_equations!Q23="D",1,"NULL"))))</f>
        <v>5</v>
      </c>
      <c r="R23" s="40">
        <f>IF(score_l_equations!R23="A",5,IF(score_l_equations!R23="B",4,IF(score_l_equations!R23="C",3,IF(score_l_equations!R23="D",1,"NULL"))))</f>
        <v>5</v>
      </c>
      <c r="S23" s="40">
        <f>IF(score_l_equations!S23="A",5,IF(score_l_equations!S23="B",4,IF(score_l_equations!S23="C",3,IF(score_l_equations!S23="D",1,"NULL"))))</f>
        <v>3</v>
      </c>
      <c r="T23" s="44">
        <f t="shared" si="3"/>
        <v>4.333333333333333</v>
      </c>
      <c r="U23" s="40">
        <f>IF(score_l_equations!U23="A",5,IF(score_l_equations!U23="B",4,IF(score_l_equations!U23="C",3,IF(score_l_equations!U23="D",1,"NULL"))))</f>
        <v>4</v>
      </c>
      <c r="V23" s="40">
        <f>IF(score_l_equations!V23="A",5,IF(score_l_equations!V23="B",4,IF(score_l_equations!V23="C",3,IF(score_l_equations!V23="D",1,"NULL"))))</f>
        <v>5</v>
      </c>
      <c r="W23" s="40">
        <f>IF(score_l_equations!W23="A",5,IF(score_l_equations!W23="B",4,IF(score_l_equations!W23="C",3,IF(score_l_equations!W23="D",1,"NULL"))))</f>
        <v>5</v>
      </c>
      <c r="X23" s="45">
        <f t="shared" si="4"/>
        <v>4.666666666666667</v>
      </c>
      <c r="Y23" s="40">
        <f>IF(score_l_equations!Y23="A",5,IF(score_l_equations!Y23="B",4,IF(score_l_equations!Y23="C",3,IF(score_l_equations!Y23="D",1,"NULL"))))</f>
        <v>3</v>
      </c>
      <c r="Z23" s="40">
        <f>IF(score_l_equations!Z23="A",5,IF(score_l_equations!Z23="B",4,IF(score_l_equations!Z23="C",3,IF(score_l_equations!Z23="D",1,"NULL"))))</f>
        <v>1</v>
      </c>
      <c r="AA23" s="57">
        <f t="shared" si="5"/>
        <v>2</v>
      </c>
      <c r="AB23" s="49">
        <f t="shared" si="6"/>
        <v>3.3229430453021536</v>
      </c>
      <c r="AC23" s="49">
        <f t="shared" si="7"/>
        <v>3.8166666666666664</v>
      </c>
      <c r="AD23" s="53">
        <f t="shared" si="8"/>
        <v>3.6685495802573125</v>
      </c>
      <c r="AE23" s="53">
        <f t="shared" si="9"/>
        <v>3.4185495802573125</v>
      </c>
      <c r="AF23">
        <f t="shared" si="10"/>
        <v>-0.25</v>
      </c>
    </row>
    <row r="24" spans="1:32" x14ac:dyDescent="0.25">
      <c r="A24" s="33">
        <v>1869</v>
      </c>
      <c r="B24" s="40">
        <f>IF(score_l_equations!B24="A",5,IF(score_l_equations!B24="B",4,IF(score_l_equations!B24="C",3,IF(score_l_equations!B24="D",1,"NULL"))))</f>
        <v>3</v>
      </c>
      <c r="C24" s="40">
        <f>IF(score_l_equations!C24="A",5,IF(score_l_equations!C24="B",4,IF(score_l_equations!C24="C",3,IF(score_l_equations!C24="D",1,"NULL"))))</f>
        <v>3</v>
      </c>
      <c r="D24" s="45">
        <f t="shared" si="1"/>
        <v>3</v>
      </c>
      <c r="E24" s="40">
        <f>IF(score_l_equations!E24="A",5,IF(score_l_equations!E24="B",4,IF(score_l_equations!E24="C",3,IF(score_l_equations!E24="D",1,"NULL"))))</f>
        <v>5</v>
      </c>
      <c r="F24" s="40">
        <f>IF(score_l_equations!F24="A",5,IF(score_l_equations!F24="B",4,IF(score_l_equations!F24="C",3,IF(score_l_equations!F24="D",1,"NULL"))))</f>
        <v>4</v>
      </c>
      <c r="G24" s="40">
        <f>IF(score_l_equations!G24="A",5,IF(score_l_equations!G24="B",4,IF(score_l_equations!G24="C",3,IF(score_l_equations!G24="D",1,"NULL"))))</f>
        <v>3</v>
      </c>
      <c r="H24" s="40">
        <f>IF(score_l_equations!H24="A",5,IF(score_l_equations!H24="B",4,IF(score_l_equations!H24="C",3,IF(score_l_equations!H24="D",1,"NULL"))))</f>
        <v>3</v>
      </c>
      <c r="I24" s="45">
        <f t="shared" si="11"/>
        <v>3.6628415014847064</v>
      </c>
      <c r="J24" s="40">
        <f>IF(score_l_equations!J24="A",5,IF(score_l_equations!J24="B",4,IF(score_l_equations!J24="B",4,IF(score_l_equations!J24="C",3,IF(score_l_equations!J24="C-",2,IF(score_l_equations!J24="D",1,"NULL"))))))</f>
        <v>3</v>
      </c>
      <c r="K24" s="40">
        <f>IF(score_l_equations!K24="A",5,IF(score_l_equations!K24="B",4,IF(score_l_equations!K24="B",4,IF(score_l_equations!K24="C",3,IF(score_l_equations!K24="C-",2,IF(score_l_equations!K24="D",1,"NULL"))))))</f>
        <v>4</v>
      </c>
      <c r="L24" s="40">
        <f>IF(score_l_equations!L24="A",5,IF(score_l_equations!L24="B",4,IF(score_l_equations!L24="B",4,IF(score_l_equations!L24="C",3,IF(score_l_equations!L24="C-",2,IF(score_l_equations!L24="D",1,"NULL"))))))</f>
        <v>4</v>
      </c>
      <c r="M24" s="40">
        <f>IF(score_l_equations!M24="A",5,IF(score_l_equations!M24="B",4,IF(score_l_equations!M24="B",4,IF(score_l_equations!M24="C",3,IF(score_l_equations!M24="C-",2,IF(score_l_equations!M24="D",1,"NULL"))))))</f>
        <v>5</v>
      </c>
      <c r="N24" s="40" t="str">
        <f>IF(score_l_equations!N24="A",5,IF(score_l_equations!N24="B",4,IF(score_l_equations!N24="B",4,IF(score_l_equations!N24="C",3,IF(score_l_equations!N24="C-",2,IF(score_l_equations!N24="D",1,"NULL"))))))</f>
        <v>NULL</v>
      </c>
      <c r="O24" s="40" t="str">
        <f>IF(score_l_equations!O24="A",5,IF(score_l_equations!O24="B",4,IF(score_l_equations!O24="B",4,IF(score_l_equations!O24="C",3,IF(score_l_equations!O24="C-",2,IF(score_l_equations!O24="D",1,"NULL"))))))</f>
        <v>NULL</v>
      </c>
      <c r="P24" s="45">
        <f t="shared" si="2"/>
        <v>4</v>
      </c>
      <c r="Q24" s="40">
        <f>IF(score_l_equations!Q24="A",5,IF(score_l_equations!Q24="B",4,IF(score_l_equations!Q24="C",3,IF(score_l_equations!Q24="D",1,"NULL"))))</f>
        <v>5</v>
      </c>
      <c r="R24" s="40">
        <f>IF(score_l_equations!R24="A",5,IF(score_l_equations!R24="B",4,IF(score_l_equations!R24="C",3,IF(score_l_equations!R24="D",1,"NULL"))))</f>
        <v>5</v>
      </c>
      <c r="S24" s="40">
        <f>IF(score_l_equations!S24="A",5,IF(score_l_equations!S24="B",4,IF(score_l_equations!S24="C",3,IF(score_l_equations!S24="D",1,"NULL"))))</f>
        <v>4</v>
      </c>
      <c r="T24" s="44">
        <f t="shared" si="3"/>
        <v>4.666666666666667</v>
      </c>
      <c r="U24" s="40">
        <f>IF(score_l_equations!U24="A",5,IF(score_l_equations!U24="B",4,IF(score_l_equations!U24="C",3,IF(score_l_equations!U24="D",1,"NULL"))))</f>
        <v>4</v>
      </c>
      <c r="V24" s="40">
        <f>IF(score_l_equations!V24="A",5,IF(score_l_equations!V24="B",4,IF(score_l_equations!V24="C",3,IF(score_l_equations!V24="D",1,"NULL"))))</f>
        <v>4</v>
      </c>
      <c r="W24" s="40">
        <f>IF(score_l_equations!W24="A",5,IF(score_l_equations!W24="B",4,IF(score_l_equations!W24="C",3,IF(score_l_equations!W24="D",1,"NULL"))))</f>
        <v>3</v>
      </c>
      <c r="X24" s="45">
        <f t="shared" si="4"/>
        <v>3.6666666666666665</v>
      </c>
      <c r="Y24" s="40">
        <f>IF(score_l_equations!Y24="A",5,IF(score_l_equations!Y24="B",4,IF(score_l_equations!Y24="C",3,IF(score_l_equations!Y24="D",1,"NULL"))))</f>
        <v>3</v>
      </c>
      <c r="Z24" s="40">
        <f>IF(score_l_equations!Z24="A",5,IF(score_l_equations!Z24="B",4,IF(score_l_equations!Z24="C",3,IF(score_l_equations!Z24="D",1,"NULL"))))</f>
        <v>4</v>
      </c>
      <c r="AA24" s="57">
        <f t="shared" si="5"/>
        <v>3.5</v>
      </c>
      <c r="AB24" s="49">
        <f t="shared" si="6"/>
        <v>3.4441038059947537</v>
      </c>
      <c r="AC24" s="49">
        <f t="shared" si="7"/>
        <v>4.2</v>
      </c>
      <c r="AD24" s="53">
        <f t="shared" si="8"/>
        <v>3.9732311417984261</v>
      </c>
      <c r="AE24" s="53">
        <f t="shared" si="9"/>
        <v>4.4732311417984256</v>
      </c>
      <c r="AF24">
        <f t="shared" si="10"/>
        <v>0.5</v>
      </c>
    </row>
    <row r="25" spans="1:32" x14ac:dyDescent="0.25">
      <c r="A25" s="33">
        <v>1870</v>
      </c>
      <c r="B25" s="40">
        <f>IF(score_l_equations!B25="A",5,IF(score_l_equations!B25="B",4,IF(score_l_equations!B25="C",3,IF(score_l_equations!B25="D",1,"NULL"))))</f>
        <v>3</v>
      </c>
      <c r="C25" s="40">
        <f>IF(score_l_equations!C25="A",5,IF(score_l_equations!C25="B",4,IF(score_l_equations!C25="C",3,IF(score_l_equations!C25="D",1,"NULL"))))</f>
        <v>3</v>
      </c>
      <c r="D25" s="45">
        <f t="shared" si="1"/>
        <v>3</v>
      </c>
      <c r="E25" s="40">
        <f>IF(score_l_equations!E25="A",5,IF(score_l_equations!E25="B",4,IF(score_l_equations!E25="C",3,IF(score_l_equations!E25="D",1,"NULL"))))</f>
        <v>5</v>
      </c>
      <c r="F25" s="40">
        <f>IF(score_l_equations!F25="A",5,IF(score_l_equations!F25="B",4,IF(score_l_equations!F25="C",3,IF(score_l_equations!F25="D",1,"NULL"))))</f>
        <v>5</v>
      </c>
      <c r="G25" s="40">
        <f>IF(score_l_equations!G25="A",5,IF(score_l_equations!G25="B",4,IF(score_l_equations!G25="C",3,IF(score_l_equations!G25="D",1,"NULL"))))</f>
        <v>4</v>
      </c>
      <c r="H25" s="40">
        <f>IF(score_l_equations!H25="A",5,IF(score_l_equations!H25="B",4,IF(score_l_equations!H25="C",3,IF(score_l_equations!H25="D",1,"NULL"))))</f>
        <v>3</v>
      </c>
      <c r="I25" s="45">
        <f t="shared" si="11"/>
        <v>4.1833001326703778</v>
      </c>
      <c r="J25" s="40">
        <f>IF(score_l_equations!J25="A",5,IF(score_l_equations!J25="B",4,IF(score_l_equations!J25="B",4,IF(score_l_equations!J25="C",3,IF(score_l_equations!J25="C-",2,IF(score_l_equations!J25="D",1,"NULL"))))))</f>
        <v>2</v>
      </c>
      <c r="K25" s="40">
        <f>IF(score_l_equations!K25="A",5,IF(score_l_equations!K25="B",4,IF(score_l_equations!K25="B",4,IF(score_l_equations!K25="C",3,IF(score_l_equations!K25="C-",2,IF(score_l_equations!K25="D",1,"NULL"))))))</f>
        <v>2</v>
      </c>
      <c r="L25" s="40">
        <f>IF(score_l_equations!L25="A",5,IF(score_l_equations!L25="B",4,IF(score_l_equations!L25="B",4,IF(score_l_equations!L25="C",3,IF(score_l_equations!L25="C-",2,IF(score_l_equations!L25="D",1,"NULL"))))))</f>
        <v>4</v>
      </c>
      <c r="M25" s="40">
        <f>IF(score_l_equations!M25="A",5,IF(score_l_equations!M25="B",4,IF(score_l_equations!M25="B",4,IF(score_l_equations!M25="C",3,IF(score_l_equations!M25="C-",2,IF(score_l_equations!M25="D",1,"NULL"))))))</f>
        <v>5</v>
      </c>
      <c r="N25" s="40" t="str">
        <f>IF(score_l_equations!N25="A",5,IF(score_l_equations!N25="B",4,IF(score_l_equations!N25="B",4,IF(score_l_equations!N25="C",3,IF(score_l_equations!N25="C-",2,IF(score_l_equations!N25="D",1,"NULL"))))))</f>
        <v>NULL</v>
      </c>
      <c r="O25" s="40" t="str">
        <f>IF(score_l_equations!O25="A",5,IF(score_l_equations!O25="B",4,IF(score_l_equations!O25="B",4,IF(score_l_equations!O25="C",3,IF(score_l_equations!O25="C-",2,IF(score_l_equations!O25="D",1,"NULL"))))))</f>
        <v>NULL</v>
      </c>
      <c r="P25" s="45">
        <f t="shared" si="2"/>
        <v>3.25</v>
      </c>
      <c r="Q25" s="40">
        <f>IF(score_l_equations!Q25="A",5,IF(score_l_equations!Q25="B",4,IF(score_l_equations!Q25="C",3,IF(score_l_equations!Q25="D",1,"NULL"))))</f>
        <v>1</v>
      </c>
      <c r="R25" s="40">
        <f>IF(score_l_equations!R25="A",5,IF(score_l_equations!R25="B",4,IF(score_l_equations!R25="C",3,IF(score_l_equations!R25="D",1,"NULL"))))</f>
        <v>1</v>
      </c>
      <c r="S25" s="40">
        <f>IF(score_l_equations!S25="A",5,IF(score_l_equations!S25="B",4,IF(score_l_equations!S25="C",3,IF(score_l_equations!S25="D",1,"NULL"))))</f>
        <v>5</v>
      </c>
      <c r="T25" s="44">
        <f t="shared" si="3"/>
        <v>2.3333333333333335</v>
      </c>
      <c r="U25" s="40">
        <f>IF(score_l_equations!U25="A",5,IF(score_l_equations!U25="B",4,IF(score_l_equations!U25="C",3,IF(score_l_equations!U25="D",1,"NULL"))))</f>
        <v>4</v>
      </c>
      <c r="V25" s="40" t="str">
        <f>IF(score_l_equations!V25="A",5,IF(score_l_equations!V25="B",4,IF(score_l_equations!V25="C",3,IF(score_l_equations!V25="D",1,"NULL"))))</f>
        <v>NULL</v>
      </c>
      <c r="W25" s="40" t="str">
        <f>IF(score_l_equations!W25="A",5,IF(score_l_equations!W25="B",4,IF(score_l_equations!W25="C",3,IF(score_l_equations!W25="D",1,"NULL"))))</f>
        <v>NULL</v>
      </c>
      <c r="X25" s="45">
        <f t="shared" si="4"/>
        <v>4</v>
      </c>
      <c r="Y25" s="40">
        <f>IF(score_l_equations!Y25="A",5,IF(score_l_equations!Y25="B",4,IF(score_l_equations!Y25="C",3,IF(score_l_equations!Y25="D",1,"NULL"))))</f>
        <v>3</v>
      </c>
      <c r="Z25" s="40">
        <f>IF(score_l_equations!Z25="A",5,IF(score_l_equations!Z25="B",4,IF(score_l_equations!Z25="C",3,IF(score_l_equations!Z25="D",1,"NULL"))))</f>
        <v>5</v>
      </c>
      <c r="AA25" s="57">
        <f t="shared" si="5"/>
        <v>4</v>
      </c>
      <c r="AB25" s="49">
        <f t="shared" si="6"/>
        <v>3.7928110888891533</v>
      </c>
      <c r="AC25" s="49">
        <f t="shared" si="7"/>
        <v>3.0041666666666669</v>
      </c>
      <c r="AD25" s="53">
        <f t="shared" si="8"/>
        <v>3.2407599933334126</v>
      </c>
      <c r="AE25" s="53">
        <f t="shared" si="9"/>
        <v>3.7407599933334126</v>
      </c>
      <c r="AF25">
        <f t="shared" si="10"/>
        <v>0.5</v>
      </c>
    </row>
    <row r="26" spans="1:32" x14ac:dyDescent="0.25">
      <c r="A26" s="33">
        <v>1871</v>
      </c>
      <c r="B26" s="40">
        <f>IF(score_l_equations!B26="A",5,IF(score_l_equations!B26="B",4,IF(score_l_equations!B26="C",3,IF(score_l_equations!B26="D",1,"NULL"))))</f>
        <v>1</v>
      </c>
      <c r="C26" s="40">
        <f>IF(score_l_equations!C26="A",5,IF(score_l_equations!C26="B",4,IF(score_l_equations!C26="C",3,IF(score_l_equations!C26="D",1,"NULL"))))</f>
        <v>1</v>
      </c>
      <c r="D26" s="45">
        <f t="shared" si="1"/>
        <v>1</v>
      </c>
      <c r="E26" s="40">
        <f>IF(score_l_equations!E26="A",5,IF(score_l_equations!E26="B",4,IF(score_l_equations!E26="C",3,IF(score_l_equations!E26="D",1,"NULL"))))</f>
        <v>3</v>
      </c>
      <c r="F26" s="40">
        <f>IF(score_l_equations!F26="A",5,IF(score_l_equations!F26="B",4,IF(score_l_equations!F26="C",3,IF(score_l_equations!F26="D",1,"NULL"))))</f>
        <v>3</v>
      </c>
      <c r="G26" s="40">
        <f>IF(score_l_equations!G26="A",5,IF(score_l_equations!G26="B",4,IF(score_l_equations!G26="C",3,IF(score_l_equations!G26="D",1,"NULL"))))</f>
        <v>3</v>
      </c>
      <c r="H26" s="40">
        <f>IF(score_l_equations!H26="A",5,IF(score_l_equations!H26="B",4,IF(score_l_equations!H26="C",3,IF(score_l_equations!H26="D",1,"NULL"))))</f>
        <v>3</v>
      </c>
      <c r="I26" s="45">
        <f t="shared" si="11"/>
        <v>3</v>
      </c>
      <c r="J26" s="40">
        <f>IF(score_l_equations!J26="A",5,IF(score_l_equations!J26="B",4,IF(score_l_equations!J26="B",4,IF(score_l_equations!J26="C",3,IF(score_l_equations!J26="C-",2,IF(score_l_equations!J26="D",1,"NULL"))))))</f>
        <v>1</v>
      </c>
      <c r="K26" s="40">
        <f>IF(score_l_equations!K26="A",5,IF(score_l_equations!K26="B",4,IF(score_l_equations!K26="B",4,IF(score_l_equations!K26="C",3,IF(score_l_equations!K26="C-",2,IF(score_l_equations!K26="D",1,"NULL"))))))</f>
        <v>3</v>
      </c>
      <c r="L26" s="40">
        <f>IF(score_l_equations!L26="A",5,IF(score_l_equations!L26="B",4,IF(score_l_equations!L26="B",4,IF(score_l_equations!L26="C",3,IF(score_l_equations!L26="C-",2,IF(score_l_equations!L26="D",1,"NULL"))))))</f>
        <v>1</v>
      </c>
      <c r="M26" s="40">
        <f>IF(score_l_equations!M26="A",5,IF(score_l_equations!M26="B",4,IF(score_l_equations!M26="B",4,IF(score_l_equations!M26="C",3,IF(score_l_equations!M26="C-",2,IF(score_l_equations!M26="D",1,"NULL"))))))</f>
        <v>3</v>
      </c>
      <c r="N26" s="40" t="str">
        <f>IF(score_l_equations!N26="A",5,IF(score_l_equations!N26="B",4,IF(score_l_equations!N26="B",4,IF(score_l_equations!N26="C",3,IF(score_l_equations!N26="C-",2,IF(score_l_equations!N26="D",1,"NULL"))))))</f>
        <v>NULL</v>
      </c>
      <c r="O26" s="40" t="str">
        <f>IF(score_l_equations!O26="A",5,IF(score_l_equations!O26="B",4,IF(score_l_equations!O26="B",4,IF(score_l_equations!O26="C",3,IF(score_l_equations!O26="C-",2,IF(score_l_equations!O26="D",1,"NULL"))))))</f>
        <v>NULL</v>
      </c>
      <c r="P26" s="45">
        <f t="shared" si="2"/>
        <v>2</v>
      </c>
      <c r="Q26" s="40">
        <f>IF(score_l_equations!Q26="A",5,IF(score_l_equations!Q26="B",4,IF(score_l_equations!Q26="C",3,IF(score_l_equations!Q26="D",1,"NULL"))))</f>
        <v>4</v>
      </c>
      <c r="R26" s="40">
        <f>IF(score_l_equations!R26="A",5,IF(score_l_equations!R26="B",4,IF(score_l_equations!R26="C",3,IF(score_l_equations!R26="D",1,"NULL"))))</f>
        <v>1</v>
      </c>
      <c r="S26" s="40">
        <f>IF(score_l_equations!S26="A",5,IF(score_l_equations!S26="B",4,IF(score_l_equations!S26="C",3,IF(score_l_equations!S26="D",1,"NULL"))))</f>
        <v>4</v>
      </c>
      <c r="T26" s="44">
        <f t="shared" si="3"/>
        <v>3</v>
      </c>
      <c r="U26" s="40">
        <f>IF(score_l_equations!U26="A",5,IF(score_l_equations!U26="B",4,IF(score_l_equations!U26="C",3,IF(score_l_equations!U26="D",1,"NULL"))))</f>
        <v>5</v>
      </c>
      <c r="V26" s="40">
        <f>IF(score_l_equations!V26="A",5,IF(score_l_equations!V26="B",4,IF(score_l_equations!V26="C",3,IF(score_l_equations!V26="D",1,"NULL"))))</f>
        <v>3</v>
      </c>
      <c r="W26" s="40">
        <f>IF(score_l_equations!W26="A",5,IF(score_l_equations!W26="B",4,IF(score_l_equations!W26="C",3,IF(score_l_equations!W26="D",1,"NULL"))))</f>
        <v>4</v>
      </c>
      <c r="X26" s="45">
        <f t="shared" si="4"/>
        <v>4</v>
      </c>
      <c r="Y26" s="40">
        <f>IF(score_l_equations!Y26="A",5,IF(score_l_equations!Y26="B",4,IF(score_l_equations!Y26="C",3,IF(score_l_equations!Y26="D",1,"NULL"))))</f>
        <v>5</v>
      </c>
      <c r="Z26" s="40">
        <f>IF(score_l_equations!Z26="A",5,IF(score_l_equations!Z26="B",4,IF(score_l_equations!Z26="C",3,IF(score_l_equations!Z26="D",1,"NULL"))))</f>
        <v>5</v>
      </c>
      <c r="AA26" s="57">
        <f t="shared" si="5"/>
        <v>5</v>
      </c>
      <c r="AB26" s="49">
        <f t="shared" si="6"/>
        <v>2.3400000000000003</v>
      </c>
      <c r="AC26" s="49">
        <f t="shared" si="7"/>
        <v>2.5499999999999998</v>
      </c>
      <c r="AD26" s="53">
        <f t="shared" si="8"/>
        <v>2.4869999999999997</v>
      </c>
      <c r="AE26" s="53">
        <f t="shared" si="9"/>
        <v>2.9869999999999997</v>
      </c>
      <c r="AF26">
        <f t="shared" si="10"/>
        <v>0.5</v>
      </c>
    </row>
    <row r="27" spans="1:32" x14ac:dyDescent="0.25">
      <c r="A27" s="33">
        <v>1872</v>
      </c>
      <c r="B27" s="40">
        <f>IF(score_l_equations!B27="A",5,IF(score_l_equations!B27="B",4,IF(score_l_equations!B27="C",3,IF(score_l_equations!B27="D",1,"NULL"))))</f>
        <v>3</v>
      </c>
      <c r="C27" s="40">
        <f>IF(score_l_equations!C27="A",5,IF(score_l_equations!C27="B",4,IF(score_l_equations!C27="C",3,IF(score_l_equations!C27="D",1,"NULL"))))</f>
        <v>4</v>
      </c>
      <c r="D27" s="45">
        <f>IF(B27="Null","NULL",AVERAGE(B27:C27))</f>
        <v>3.5</v>
      </c>
      <c r="E27" s="40">
        <f>IF(score_l_equations!E27="A",5,IF(score_l_equations!E27="B",4,IF(score_l_equations!E27="C",3,IF(score_l_equations!E27="D",1,"NULL"))))</f>
        <v>5</v>
      </c>
      <c r="F27" s="40">
        <f>IF(score_l_equations!F27="A",5,IF(score_l_equations!F27="B",4,IF(score_l_equations!F27="C",3,IF(score_l_equations!F27="D",1,"NULL"))))</f>
        <v>4</v>
      </c>
      <c r="G27" s="40">
        <f>IF(score_l_equations!G27="A",5,IF(score_l_equations!G27="B",4,IF(score_l_equations!G27="C",3,IF(score_l_equations!G27="D",1,"NULL"))))</f>
        <v>3</v>
      </c>
      <c r="H27" s="40">
        <f>IF(score_l_equations!H27="A",5,IF(score_l_equations!H27="B",4,IF(score_l_equations!H27="C",3,IF(score_l_equations!H27="D",1,"NULL"))))</f>
        <v>3</v>
      </c>
      <c r="I27" s="45">
        <f t="shared" si="11"/>
        <v>3.6628415014847064</v>
      </c>
      <c r="J27" s="40">
        <f>IF(score_l_equations!J27="A",5,IF(score_l_equations!J27="B",4,IF(score_l_equations!J27="B",4,IF(score_l_equations!J27="C",3,IF(score_l_equations!J27="C-",2,IF(score_l_equations!J27="D",1,"NULL"))))))</f>
        <v>1</v>
      </c>
      <c r="K27" s="40">
        <f>IF(score_l_equations!K27="A",5,IF(score_l_equations!K27="B",4,IF(score_l_equations!K27="B",4,IF(score_l_equations!K27="C",3,IF(score_l_equations!K27="C-",2,IF(score_l_equations!K27="D",1,"NULL"))))))</f>
        <v>4</v>
      </c>
      <c r="L27" s="40">
        <f>IF(score_l_equations!L27="A",5,IF(score_l_equations!L27="B",4,IF(score_l_equations!L27="B",4,IF(score_l_equations!L27="C",3,IF(score_l_equations!L27="C-",2,IF(score_l_equations!L27="D",1,"NULL"))))))</f>
        <v>3</v>
      </c>
      <c r="M27" s="40">
        <f>IF(score_l_equations!M27="A",5,IF(score_l_equations!M27="B",4,IF(score_l_equations!M27="B",4,IF(score_l_equations!M27="C",3,IF(score_l_equations!M27="C-",2,IF(score_l_equations!M27="D",1,"NULL"))))))</f>
        <v>3</v>
      </c>
      <c r="N27" s="40">
        <f>IF(score_l_equations!N27="A",5,IF(score_l_equations!N27="B",4,IF(score_l_equations!N27="B",4,IF(score_l_equations!N27="C",3,IF(score_l_equations!N27="C-",2,IF(score_l_equations!N27="D",1,"NULL"))))))</f>
        <v>4</v>
      </c>
      <c r="O27" s="40">
        <f>IF(score_l_equations!O27="A",5,IF(score_l_equations!O27="B",4,IF(score_l_equations!O27="B",4,IF(score_l_equations!O27="C",3,IF(score_l_equations!O27="C-",2,IF(score_l_equations!O27="D",1,"NULL"))))))</f>
        <v>3</v>
      </c>
      <c r="P27" s="45">
        <f t="shared" si="2"/>
        <v>3</v>
      </c>
      <c r="Q27" s="40">
        <f>IF(score_l_equations!Q27="A",5,IF(score_l_equations!Q27="B",4,IF(score_l_equations!Q27="C",3,IF(score_l_equations!Q27="D",1,"NULL"))))</f>
        <v>4</v>
      </c>
      <c r="R27" s="40">
        <f>IF(score_l_equations!R27="A",5,IF(score_l_equations!R27="B",4,IF(score_l_equations!R27="C",3,IF(score_l_equations!R27="D",1,"NULL"))))</f>
        <v>3</v>
      </c>
      <c r="S27" s="40">
        <f>IF(score_l_equations!S27="A",5,IF(score_l_equations!S27="B",4,IF(score_l_equations!S27="C",3,IF(score_l_equations!S27="D",1,"NULL"))))</f>
        <v>4</v>
      </c>
      <c r="T27" s="44">
        <f t="shared" si="3"/>
        <v>3.6666666666666665</v>
      </c>
      <c r="U27" s="40">
        <f>IF(score_l_equations!U27="A",5,IF(score_l_equations!U27="B",4,IF(score_l_equations!U27="C",3,IF(score_l_equations!U27="D",1,"NULL"))))</f>
        <v>4</v>
      </c>
      <c r="V27" s="40" t="str">
        <f>IF(score_l_equations!V27="A",5,IF(score_l_equations!V27="B",4,IF(score_l_equations!V27="C",3,IF(score_l_equations!V27="D",1,"NULL"))))</f>
        <v>NULL</v>
      </c>
      <c r="W27" s="40" t="str">
        <f>IF(score_l_equations!W27="A",5,IF(score_l_equations!W27="B",4,IF(score_l_equations!W27="C",3,IF(score_l_equations!W27="D",1,"NULL"))))</f>
        <v>NULL</v>
      </c>
      <c r="X27" s="45">
        <f t="shared" si="4"/>
        <v>4</v>
      </c>
      <c r="Y27" s="40">
        <f>IF(score_l_equations!Y27="A",5,IF(score_l_equations!Y27="B",4,IF(score_l_equations!Y27="C",3,IF(score_l_equations!Y27="D",1,"NULL"))))</f>
        <v>3</v>
      </c>
      <c r="Z27" s="40">
        <f>IF(score_l_equations!Z27="A",5,IF(score_l_equations!Z27="B",4,IF(score_l_equations!Z27="C",3,IF(score_l_equations!Z27="D",1,"NULL"))))</f>
        <v>1</v>
      </c>
      <c r="AA27" s="57">
        <f t="shared" si="5"/>
        <v>2</v>
      </c>
      <c r="AB27" s="49">
        <f t="shared" si="6"/>
        <v>3.6091038059947538</v>
      </c>
      <c r="AC27" s="49">
        <f t="shared" si="7"/>
        <v>3.3333333333333335</v>
      </c>
      <c r="AD27" s="53">
        <f t="shared" si="8"/>
        <v>3.4160644751317593</v>
      </c>
      <c r="AE27" s="53">
        <f t="shared" si="9"/>
        <v>3.1660644751317593</v>
      </c>
      <c r="AF27">
        <f t="shared" si="10"/>
        <v>-0.25</v>
      </c>
    </row>
    <row r="28" spans="1:32" x14ac:dyDescent="0.25">
      <c r="A28" s="33">
        <v>1874</v>
      </c>
      <c r="B28" s="40">
        <f>IF(score_l_equations!B28="A",5,IF(score_l_equations!B28="B",4,IF(score_l_equations!B28="C",3,IF(score_l_equations!B28="D",1,"NULL"))))</f>
        <v>3</v>
      </c>
      <c r="C28" s="40">
        <f>IF(score_l_equations!C28="A",5,IF(score_l_equations!C28="B",4,IF(score_l_equations!C28="C",3,IF(score_l_equations!C28="D",1,"NULL"))))</f>
        <v>4</v>
      </c>
      <c r="D28" s="45">
        <f t="shared" si="1"/>
        <v>3.5</v>
      </c>
      <c r="E28" s="40">
        <f>IF(score_l_equations!E28="A",5,IF(score_l_equations!E28="B",4,IF(score_l_equations!E28="C",3,IF(score_l_equations!E28="D",1,"NULL"))))</f>
        <v>5</v>
      </c>
      <c r="F28" s="40">
        <f>IF(score_l_equations!F28="A",5,IF(score_l_equations!F28="B",4,IF(score_l_equations!F28="C",3,IF(score_l_equations!F28="D",1,"NULL"))))</f>
        <v>4</v>
      </c>
      <c r="G28" s="40">
        <f>IF(score_l_equations!G28="A",5,IF(score_l_equations!G28="B",4,IF(score_l_equations!G28="C",3,IF(score_l_equations!G28="D",1,"NULL"))))</f>
        <v>3</v>
      </c>
      <c r="H28" s="40">
        <f>IF(score_l_equations!H28="A",5,IF(score_l_equations!H28="B",4,IF(score_l_equations!H28="C",3,IF(score_l_equations!H28="D",1,"NULL"))))</f>
        <v>3</v>
      </c>
      <c r="I28" s="45">
        <f t="shared" si="11"/>
        <v>3.6628415014847064</v>
      </c>
      <c r="J28" s="40">
        <f>IF(score_l_equations!J28="A",5,IF(score_l_equations!J28="B",4,IF(score_l_equations!J28="B",4,IF(score_l_equations!J28="C",3,IF(score_l_equations!J28="C-",2,IF(score_l_equations!J28="D",1,"NULL"))))))</f>
        <v>2</v>
      </c>
      <c r="K28" s="40">
        <f>IF(score_l_equations!K28="A",5,IF(score_l_equations!K28="B",4,IF(score_l_equations!K28="B",4,IF(score_l_equations!K28="C",3,IF(score_l_equations!K28="C-",2,IF(score_l_equations!K28="D",1,"NULL"))))))</f>
        <v>2</v>
      </c>
      <c r="L28" s="40">
        <f>IF(score_l_equations!L28="A",5,IF(score_l_equations!L28="B",4,IF(score_l_equations!L28="B",4,IF(score_l_equations!L28="C",3,IF(score_l_equations!L28="C-",2,IF(score_l_equations!L28="D",1,"NULL"))))))</f>
        <v>3</v>
      </c>
      <c r="M28" s="40">
        <f>IF(score_l_equations!M28="A",5,IF(score_l_equations!M28="B",4,IF(score_l_equations!M28="B",4,IF(score_l_equations!M28="C",3,IF(score_l_equations!M28="C-",2,IF(score_l_equations!M28="D",1,"NULL"))))))</f>
        <v>4</v>
      </c>
      <c r="N28" s="40" t="str">
        <f>IF(score_l_equations!N28="A",5,IF(score_l_equations!N28="B",4,IF(score_l_equations!N28="B",4,IF(score_l_equations!N28="C",3,IF(score_l_equations!N28="C-",2,IF(score_l_equations!N28="D",1,"NULL"))))))</f>
        <v>NULL</v>
      </c>
      <c r="O28" s="40" t="str">
        <f>IF(score_l_equations!O28="A",5,IF(score_l_equations!O28="B",4,IF(score_l_equations!O28="B",4,IF(score_l_equations!O28="C",3,IF(score_l_equations!O28="C-",2,IF(score_l_equations!O28="D",1,"NULL"))))))</f>
        <v>NULL</v>
      </c>
      <c r="P28" s="45">
        <f t="shared" si="2"/>
        <v>2.75</v>
      </c>
      <c r="Q28" s="40">
        <f>IF(score_l_equations!Q28="A",5,IF(score_l_equations!Q28="B",4,IF(score_l_equations!Q28="C",3,IF(score_l_equations!Q28="D",1,"NULL"))))</f>
        <v>5</v>
      </c>
      <c r="R28" s="40">
        <f>IF(score_l_equations!R28="A",5,IF(score_l_equations!R28="B",4,IF(score_l_equations!R28="C",3,IF(score_l_equations!R28="D",1,"NULL"))))</f>
        <v>5</v>
      </c>
      <c r="S28" s="40">
        <f>IF(score_l_equations!S28="A",5,IF(score_l_equations!S28="B",4,IF(score_l_equations!S28="C",3,IF(score_l_equations!S28="D",1,"NULL"))))</f>
        <v>4</v>
      </c>
      <c r="T28" s="44">
        <f t="shared" si="3"/>
        <v>4.666666666666667</v>
      </c>
      <c r="U28" s="40">
        <f>IF(score_l_equations!U28="A",5,IF(score_l_equations!U28="B",4,IF(score_l_equations!U28="C",3,IF(score_l_equations!U28="D",1,"NULL"))))</f>
        <v>3</v>
      </c>
      <c r="V28" s="40">
        <f>IF(score_l_equations!V28="A",5,IF(score_l_equations!V28="B",4,IF(score_l_equations!V28="C",3,IF(score_l_equations!V28="D",1,"NULL"))))</f>
        <v>5</v>
      </c>
      <c r="W28" s="40">
        <f>IF(score_l_equations!W28="A",5,IF(score_l_equations!W28="B",4,IF(score_l_equations!W28="C",3,IF(score_l_equations!W28="D",1,"NULL"))))</f>
        <v>4</v>
      </c>
      <c r="X28" s="45">
        <f t="shared" si="4"/>
        <v>4</v>
      </c>
      <c r="Y28" s="40">
        <f>IF(score_l_equations!Y28="A",5,IF(score_l_equations!Y28="B",4,IF(score_l_equations!Y28="C",3,IF(score_l_equations!Y28="D",1,"NULL"))))</f>
        <v>4</v>
      </c>
      <c r="Z28" s="40">
        <f>IF(score_l_equations!Z28="A",5,IF(score_l_equations!Z28="B",4,IF(score_l_equations!Z28="C",3,IF(score_l_equations!Z28="D",1,"NULL"))))</f>
        <v>5</v>
      </c>
      <c r="AA28" s="57">
        <f t="shared" si="5"/>
        <v>4.5</v>
      </c>
      <c r="AB28" s="49">
        <f t="shared" si="6"/>
        <v>3.6091038059947538</v>
      </c>
      <c r="AC28" s="49">
        <f t="shared" si="7"/>
        <v>3.5458333333333334</v>
      </c>
      <c r="AD28" s="53">
        <f t="shared" si="8"/>
        <v>3.564814475131759</v>
      </c>
      <c r="AE28" s="53">
        <f t="shared" si="9"/>
        <v>4.064814475131759</v>
      </c>
      <c r="AF28">
        <f t="shared" si="10"/>
        <v>0.5</v>
      </c>
    </row>
    <row r="29" spans="1:32" x14ac:dyDescent="0.25">
      <c r="A29" s="33">
        <v>1875</v>
      </c>
      <c r="B29" s="40">
        <f>IF(score_l_equations!B29="A",5,IF(score_l_equations!B29="B",4,IF(score_l_equations!B29="C",3,IF(score_l_equations!B29="D",1,"NULL"))))</f>
        <v>3</v>
      </c>
      <c r="C29" s="40">
        <f>IF(score_l_equations!C29="A",5,IF(score_l_equations!C29="B",4,IF(score_l_equations!C29="C",3,IF(score_l_equations!C29="D",1,"NULL"))))</f>
        <v>4</v>
      </c>
      <c r="D29" s="45">
        <f t="shared" si="1"/>
        <v>3.5</v>
      </c>
      <c r="E29" s="40">
        <f>IF(score_l_equations!E29="A",5,IF(score_l_equations!E29="B",4,IF(score_l_equations!E29="C",3,IF(score_l_equations!E29="D",1,"NULL"))))</f>
        <v>5</v>
      </c>
      <c r="F29" s="40">
        <f>IF(score_l_equations!F29="A",5,IF(score_l_equations!F29="B",4,IF(score_l_equations!F29="C",3,IF(score_l_equations!F29="D",1,"NULL"))))</f>
        <v>5</v>
      </c>
      <c r="G29" s="40">
        <f>IF(score_l_equations!G29="A",5,IF(score_l_equations!G29="B",4,IF(score_l_equations!G29="C",3,IF(score_l_equations!G29="D",1,"NULL"))))</f>
        <v>3</v>
      </c>
      <c r="H29" s="40">
        <f>IF(score_l_equations!H29="A",5,IF(score_l_equations!H29="B",4,IF(score_l_equations!H29="C",3,IF(score_l_equations!H29="D",1,"NULL"))))</f>
        <v>4</v>
      </c>
      <c r="I29" s="45">
        <f t="shared" si="11"/>
        <v>4.1833001326703778</v>
      </c>
      <c r="J29" s="40">
        <f>IF(score_l_equations!J29="A",5,IF(score_l_equations!J29="B",4,IF(score_l_equations!J29="B",4,IF(score_l_equations!J29="C",3,IF(score_l_equations!J29="C-",2,IF(score_l_equations!J29="D",1,"NULL"))))))</f>
        <v>2</v>
      </c>
      <c r="K29" s="40">
        <f>IF(score_l_equations!K29="A",5,IF(score_l_equations!K29="B",4,IF(score_l_equations!K29="B",4,IF(score_l_equations!K29="C",3,IF(score_l_equations!K29="C-",2,IF(score_l_equations!K29="D",1,"NULL"))))))</f>
        <v>3</v>
      </c>
      <c r="L29" s="40">
        <f>IF(score_l_equations!L29="A",5,IF(score_l_equations!L29="B",4,IF(score_l_equations!L29="B",4,IF(score_l_equations!L29="C",3,IF(score_l_equations!L29="C-",2,IF(score_l_equations!L29="D",1,"NULL"))))))</f>
        <v>3</v>
      </c>
      <c r="M29" s="40">
        <f>IF(score_l_equations!M29="A",5,IF(score_l_equations!M29="B",4,IF(score_l_equations!M29="B",4,IF(score_l_equations!M29="C",3,IF(score_l_equations!M29="C-",2,IF(score_l_equations!M29="D",1,"NULL"))))))</f>
        <v>5</v>
      </c>
      <c r="N29" s="40">
        <f>IF(score_l_equations!N29="A",5,IF(score_l_equations!N29="B",4,IF(score_l_equations!N29="B",4,IF(score_l_equations!N29="C",3,IF(score_l_equations!N29="C-",2,IF(score_l_equations!N29="D",1,"NULL"))))))</f>
        <v>5</v>
      </c>
      <c r="O29" s="40">
        <f>IF(score_l_equations!O29="A",5,IF(score_l_equations!O29="B",4,IF(score_l_equations!O29="B",4,IF(score_l_equations!O29="C",3,IF(score_l_equations!O29="C-",2,IF(score_l_equations!O29="D",1,"NULL"))))))</f>
        <v>5</v>
      </c>
      <c r="P29" s="45">
        <f t="shared" si="2"/>
        <v>3.8333333333333335</v>
      </c>
      <c r="Q29" s="40">
        <f>IF(score_l_equations!Q29="A",5,IF(score_l_equations!Q29="B",4,IF(score_l_equations!Q29="C",3,IF(score_l_equations!Q29="D",1,"NULL"))))</f>
        <v>5</v>
      </c>
      <c r="R29" s="40">
        <f>IF(score_l_equations!R29="A",5,IF(score_l_equations!R29="B",4,IF(score_l_equations!R29="C",3,IF(score_l_equations!R29="D",1,"NULL"))))</f>
        <v>5</v>
      </c>
      <c r="S29" s="40">
        <f>IF(score_l_equations!S29="A",5,IF(score_l_equations!S29="B",4,IF(score_l_equations!S29="C",3,IF(score_l_equations!S29="D",1,"NULL"))))</f>
        <v>3</v>
      </c>
      <c r="T29" s="44">
        <f t="shared" si="3"/>
        <v>4.333333333333333</v>
      </c>
      <c r="U29" s="40">
        <f>IF(score_l_equations!U29="A",5,IF(score_l_equations!U29="B",4,IF(score_l_equations!U29="C",3,IF(score_l_equations!U29="D",1,"NULL"))))</f>
        <v>5</v>
      </c>
      <c r="V29" s="40">
        <f>IF(score_l_equations!V29="A",5,IF(score_l_equations!V29="B",4,IF(score_l_equations!V29="C",3,IF(score_l_equations!V29="D",1,"NULL"))))</f>
        <v>5</v>
      </c>
      <c r="W29" s="40">
        <f>IF(score_l_equations!W29="A",5,IF(score_l_equations!W29="B",4,IF(score_l_equations!W29="C",3,IF(score_l_equations!W29="D",1,"NULL"))))</f>
        <v>4</v>
      </c>
      <c r="X29" s="45">
        <f t="shared" si="4"/>
        <v>4.666666666666667</v>
      </c>
      <c r="Y29" s="40">
        <f>IF(score_l_equations!Y29="A",5,IF(score_l_equations!Y29="B",4,IF(score_l_equations!Y29="C",3,IF(score_l_equations!Y29="D",1,"NULL"))))</f>
        <v>4</v>
      </c>
      <c r="Z29" s="40">
        <f>IF(score_l_equations!Z29="A",5,IF(score_l_equations!Z29="B",4,IF(score_l_equations!Z29="C",3,IF(score_l_equations!Z29="D",1,"NULL"))))</f>
        <v>1</v>
      </c>
      <c r="AA29" s="57">
        <f t="shared" si="5"/>
        <v>2.5</v>
      </c>
      <c r="AB29" s="49">
        <f t="shared" si="6"/>
        <v>3.9578110888891533</v>
      </c>
      <c r="AC29" s="49">
        <f t="shared" si="7"/>
        <v>4.0916666666666668</v>
      </c>
      <c r="AD29" s="53">
        <f t="shared" si="8"/>
        <v>4.0515099933334131</v>
      </c>
      <c r="AE29" s="53">
        <f t="shared" si="9"/>
        <v>4.3015099933334131</v>
      </c>
      <c r="AF29">
        <f t="shared" si="10"/>
        <v>0.25</v>
      </c>
    </row>
    <row r="30" spans="1:32" x14ac:dyDescent="0.25">
      <c r="A30" s="33">
        <v>1897</v>
      </c>
      <c r="B30" s="40">
        <f>IF(score_l_equations!B30="A",5,IF(score_l_equations!B30="B",4,IF(score_l_equations!B30="C",3,IF(score_l_equations!B30="D",1,"NULL"))))</f>
        <v>4</v>
      </c>
      <c r="C30" s="40">
        <f>IF(score_l_equations!C30="A",5,IF(score_l_equations!C30="B",4,IF(score_l_equations!C30="C",3,IF(score_l_equations!C30="D",1,"NULL"))))</f>
        <v>4</v>
      </c>
      <c r="D30" s="45">
        <f t="shared" si="1"/>
        <v>4</v>
      </c>
      <c r="E30" s="40">
        <f>IF(score_l_equations!E30="A",5,IF(score_l_equations!E30="B",4,IF(score_l_equations!E30="C",3,IF(score_l_equations!E30="D",1,"NULL"))))</f>
        <v>5</v>
      </c>
      <c r="F30" s="40">
        <f>IF(score_l_equations!F30="A",5,IF(score_l_equations!F30="B",4,IF(score_l_equations!F30="C",3,IF(score_l_equations!F30="D",1,"NULL"))))</f>
        <v>4</v>
      </c>
      <c r="G30" s="40">
        <f>IF(score_l_equations!G30="A",5,IF(score_l_equations!G30="B",4,IF(score_l_equations!G30="C",3,IF(score_l_equations!G30="D",1,"NULL"))))</f>
        <v>4</v>
      </c>
      <c r="H30" s="40">
        <f>IF(score_l_equations!H30="A",5,IF(score_l_equations!H30="B",4,IF(score_l_equations!H30="C",3,IF(score_l_equations!H30="D",1,"NULL"))))</f>
        <v>4</v>
      </c>
      <c r="I30" s="45">
        <f t="shared" si="11"/>
        <v>4.2294850537622564</v>
      </c>
      <c r="J30" s="40">
        <f>IF(score_l_equations!J30="A",5,IF(score_l_equations!J30="B",4,IF(score_l_equations!J30="B",4,IF(score_l_equations!J30="C",3,IF(score_l_equations!J30="C-",2,IF(score_l_equations!J30="D",1,"NULL"))))))</f>
        <v>2</v>
      </c>
      <c r="K30" s="40">
        <f>IF(score_l_equations!K30="A",5,IF(score_l_equations!K30="B",4,IF(score_l_equations!K30="B",4,IF(score_l_equations!K30="C",3,IF(score_l_equations!K30="C-",2,IF(score_l_equations!K30="D",1,"NULL"))))))</f>
        <v>3</v>
      </c>
      <c r="L30" s="40">
        <f>IF(score_l_equations!L30="A",5,IF(score_l_equations!L30="B",4,IF(score_l_equations!L30="B",4,IF(score_l_equations!L30="C",3,IF(score_l_equations!L30="C-",2,IF(score_l_equations!L30="D",1,"NULL"))))))</f>
        <v>3</v>
      </c>
      <c r="M30" s="40">
        <f>IF(score_l_equations!M30="A",5,IF(score_l_equations!M30="B",4,IF(score_l_equations!M30="B",4,IF(score_l_equations!M30="C",3,IF(score_l_equations!M30="C-",2,IF(score_l_equations!M30="D",1,"NULL"))))))</f>
        <v>4</v>
      </c>
      <c r="N30" s="40">
        <f>IF(score_l_equations!N30="A",5,IF(score_l_equations!N30="B",4,IF(score_l_equations!N30="B",4,IF(score_l_equations!N30="C",3,IF(score_l_equations!N30="C-",2,IF(score_l_equations!N30="D",1,"NULL"))))))</f>
        <v>4</v>
      </c>
      <c r="O30" s="40">
        <f>IF(score_l_equations!O30="A",5,IF(score_l_equations!O30="B",4,IF(score_l_equations!O30="B",4,IF(score_l_equations!O30="C",3,IF(score_l_equations!O30="C-",2,IF(score_l_equations!O30="D",1,"NULL"))))))</f>
        <v>5</v>
      </c>
      <c r="P30" s="45">
        <f t="shared" si="2"/>
        <v>3.5</v>
      </c>
      <c r="Q30" s="40">
        <f>IF(score_l_equations!Q30="A",5,IF(score_l_equations!Q30="B",4,IF(score_l_equations!Q30="C",3,IF(score_l_equations!Q30="D",1,"NULL"))))</f>
        <v>5</v>
      </c>
      <c r="R30" s="40">
        <f>IF(score_l_equations!R30="A",5,IF(score_l_equations!R30="B",4,IF(score_l_equations!R30="C",3,IF(score_l_equations!R30="D",1,"NULL"))))</f>
        <v>5</v>
      </c>
      <c r="S30" s="40">
        <f>IF(score_l_equations!S30="A",5,IF(score_l_equations!S30="B",4,IF(score_l_equations!S30="C",3,IF(score_l_equations!S30="D",1,"NULL"))))</f>
        <v>4</v>
      </c>
      <c r="T30" s="44">
        <f t="shared" si="3"/>
        <v>4.666666666666667</v>
      </c>
      <c r="U30" s="40">
        <f>IF(score_l_equations!U30="A",5,IF(score_l_equations!U30="B",4,IF(score_l_equations!U30="C",3,IF(score_l_equations!U30="D",1,"NULL"))))</f>
        <v>5</v>
      </c>
      <c r="V30" s="40">
        <f>IF(score_l_equations!V30="A",5,IF(score_l_equations!V30="B",4,IF(score_l_equations!V30="C",3,IF(score_l_equations!V30="D",1,"NULL"))))</f>
        <v>5</v>
      </c>
      <c r="W30" s="40">
        <f>IF(score_l_equations!W30="A",5,IF(score_l_equations!W30="B",4,IF(score_l_equations!W30="C",3,IF(score_l_equations!W30="D",1,"NULL"))))</f>
        <v>5</v>
      </c>
      <c r="X30" s="45">
        <f t="shared" si="4"/>
        <v>5</v>
      </c>
      <c r="Y30" s="40">
        <f>IF(score_l_equations!Y30="A",5,IF(score_l_equations!Y30="B",4,IF(score_l_equations!Y30="C",3,IF(score_l_equations!Y30="D",1,"NULL"))))</f>
        <v>5</v>
      </c>
      <c r="Z30" s="40">
        <f>IF(score_l_equations!Z30="A",5,IF(score_l_equations!Z30="B",4,IF(score_l_equations!Z30="C",3,IF(score_l_equations!Z30="D",1,"NULL"))))</f>
        <v>5</v>
      </c>
      <c r="AA30" s="57">
        <f t="shared" si="5"/>
        <v>5</v>
      </c>
      <c r="AB30" s="49">
        <f t="shared" si="6"/>
        <v>4.1537549860207124</v>
      </c>
      <c r="AC30" s="49">
        <f t="shared" si="7"/>
        <v>4.0583333333333336</v>
      </c>
      <c r="AD30" s="53">
        <f t="shared" si="8"/>
        <v>4.0869598291395466</v>
      </c>
      <c r="AE30" s="53">
        <f t="shared" si="9"/>
        <v>4.5869598291395466</v>
      </c>
      <c r="AF30">
        <f t="shared" si="10"/>
        <v>0.5</v>
      </c>
    </row>
    <row r="31" spans="1:32" x14ac:dyDescent="0.25">
      <c r="A31" s="33">
        <v>1911</v>
      </c>
      <c r="B31" s="40">
        <f>IF(score_l_equations!B31="A",5,IF(score_l_equations!B31="B",4,IF(score_l_equations!B31="C",3,IF(score_l_equations!B31="D",1,"NULL"))))</f>
        <v>3</v>
      </c>
      <c r="C31" s="40">
        <f>IF(score_l_equations!C31="A",5,IF(score_l_equations!C31="B",4,IF(score_l_equations!C31="C",3,IF(score_l_equations!C31="D",1,"NULL"))))</f>
        <v>3</v>
      </c>
      <c r="D31" s="45">
        <f t="shared" si="1"/>
        <v>3</v>
      </c>
      <c r="E31" s="40">
        <f>IF(score_l_equations!E31="A",5,IF(score_l_equations!E31="B",4,IF(score_l_equations!E31="C",3,IF(score_l_equations!E31="D",1,"NULL"))))</f>
        <v>5</v>
      </c>
      <c r="F31" s="40">
        <f>IF(score_l_equations!F31="A",5,IF(score_l_equations!F31="B",4,IF(score_l_equations!F31="C",3,IF(score_l_equations!F31="D",1,"NULL"))))</f>
        <v>4</v>
      </c>
      <c r="G31" s="40">
        <f>IF(score_l_equations!G31="A",5,IF(score_l_equations!G31="B",4,IF(score_l_equations!G31="C",3,IF(score_l_equations!G31="D",1,"NULL"))))</f>
        <v>3</v>
      </c>
      <c r="H31" s="40">
        <f>IF(score_l_equations!H31="A",5,IF(score_l_equations!H31="B",4,IF(score_l_equations!H31="C",3,IF(score_l_equations!H31="D",1,"NULL"))))</f>
        <v>4</v>
      </c>
      <c r="I31" s="45">
        <f t="shared" si="11"/>
        <v>3.9563209984148822</v>
      </c>
      <c r="J31" s="40">
        <f>IF(score_l_equations!J31="A",5,IF(score_l_equations!J31="B",4,IF(score_l_equations!J31="B",4,IF(score_l_equations!J31="C",3,IF(score_l_equations!J31="C-",2,IF(score_l_equations!J31="D",1,"NULL"))))))</f>
        <v>1</v>
      </c>
      <c r="K31" s="40">
        <f>IF(score_l_equations!K31="A",5,IF(score_l_equations!K31="B",4,IF(score_l_equations!K31="B",4,IF(score_l_equations!K31="C",3,IF(score_l_equations!K31="C-",2,IF(score_l_equations!K31="D",1,"NULL"))))))</f>
        <v>2</v>
      </c>
      <c r="L31" s="40">
        <f>IF(score_l_equations!L31="A",5,IF(score_l_equations!L31="B",4,IF(score_l_equations!L31="B",4,IF(score_l_equations!L31="C",3,IF(score_l_equations!L31="C-",2,IF(score_l_equations!L31="D",1,"NULL"))))))</f>
        <v>4</v>
      </c>
      <c r="M31" s="40">
        <f>IF(score_l_equations!M31="A",5,IF(score_l_equations!M31="B",4,IF(score_l_equations!M31="B",4,IF(score_l_equations!M31="C",3,IF(score_l_equations!M31="C-",2,IF(score_l_equations!M31="D",1,"NULL"))))))</f>
        <v>3</v>
      </c>
      <c r="N31" s="40">
        <f>IF(score_l_equations!N31="A",5,IF(score_l_equations!N31="B",4,IF(score_l_equations!N31="B",4,IF(score_l_equations!N31="C",3,IF(score_l_equations!N31="C-",2,IF(score_l_equations!N31="D",1,"NULL"))))))</f>
        <v>3</v>
      </c>
      <c r="O31" s="40">
        <f>IF(score_l_equations!O31="A",5,IF(score_l_equations!O31="B",4,IF(score_l_equations!O31="B",4,IF(score_l_equations!O31="C",3,IF(score_l_equations!O31="C-",2,IF(score_l_equations!O31="D",1,"NULL"))))))</f>
        <v>3</v>
      </c>
      <c r="P31" s="45">
        <f t="shared" si="2"/>
        <v>2.6666666666666665</v>
      </c>
      <c r="Q31" s="40">
        <f>IF(score_l_equations!Q31="A",5,IF(score_l_equations!Q31="B",4,IF(score_l_equations!Q31="C",3,IF(score_l_equations!Q31="D",1,"NULL"))))</f>
        <v>5</v>
      </c>
      <c r="R31" s="40">
        <f>IF(score_l_equations!R31="A",5,IF(score_l_equations!R31="B",4,IF(score_l_equations!R31="C",3,IF(score_l_equations!R31="D",1,"NULL"))))</f>
        <v>5</v>
      </c>
      <c r="S31" s="40">
        <f>IF(score_l_equations!S31="A",5,IF(score_l_equations!S31="B",4,IF(score_l_equations!S31="C",3,IF(score_l_equations!S31="D",1,"NULL"))))</f>
        <v>3</v>
      </c>
      <c r="T31" s="44">
        <f t="shared" si="3"/>
        <v>4.333333333333333</v>
      </c>
      <c r="U31" s="40">
        <f>IF(score_l_equations!U31="A",5,IF(score_l_equations!U31="B",4,IF(score_l_equations!U31="C",3,IF(score_l_equations!U31="D",1,"NULL"))))</f>
        <v>4</v>
      </c>
      <c r="V31" s="40">
        <f>IF(score_l_equations!V31="A",5,IF(score_l_equations!V31="B",4,IF(score_l_equations!V31="C",3,IF(score_l_equations!V31="D",1,"NULL"))))</f>
        <v>4</v>
      </c>
      <c r="W31" s="40">
        <f>IF(score_l_equations!W31="A",5,IF(score_l_equations!W31="B",4,IF(score_l_equations!W31="C",3,IF(score_l_equations!W31="D",1,"NULL"))))</f>
        <v>5</v>
      </c>
      <c r="X31" s="45">
        <f t="shared" si="4"/>
        <v>4.333333333333333</v>
      </c>
      <c r="Y31" s="40">
        <f>IF(score_l_equations!Y31="A",5,IF(score_l_equations!Y31="B",4,IF(score_l_equations!Y31="C",3,IF(score_l_equations!Y31="D",1,"NULL"))))</f>
        <v>4</v>
      </c>
      <c r="Z31" s="40">
        <f>IF(score_l_equations!Z31="A",5,IF(score_l_equations!Z31="B",4,IF(score_l_equations!Z31="C",3,IF(score_l_equations!Z31="D",1,"NULL"))))</f>
        <v>3</v>
      </c>
      <c r="AA31" s="57">
        <f t="shared" si="5"/>
        <v>3.5</v>
      </c>
      <c r="AB31" s="49">
        <f t="shared" si="6"/>
        <v>3.6407350689379712</v>
      </c>
      <c r="AC31" s="49">
        <f t="shared" si="7"/>
        <v>3.416666666666667</v>
      </c>
      <c r="AD31" s="53">
        <f t="shared" si="8"/>
        <v>3.4838871873480581</v>
      </c>
      <c r="AE31" s="53">
        <f t="shared" si="9"/>
        <v>3.9838871873480581</v>
      </c>
      <c r="AF31">
        <f t="shared" si="10"/>
        <v>0.5</v>
      </c>
    </row>
    <row r="32" spans="1:32" x14ac:dyDescent="0.25">
      <c r="A32" s="33">
        <v>1912</v>
      </c>
      <c r="B32" s="40">
        <f>IF(score_l_equations!B32="A",5,IF(score_l_equations!B32="B",4,IF(score_l_equations!B32="C",3,IF(score_l_equations!B32="D",1,"NULL"))))</f>
        <v>1</v>
      </c>
      <c r="C32" s="40">
        <f>IF(score_l_equations!C32="A",5,IF(score_l_equations!C32="B",4,IF(score_l_equations!C32="C",3,IF(score_l_equations!C32="D",1,"NULL"))))</f>
        <v>1</v>
      </c>
      <c r="D32" s="45">
        <f t="shared" si="1"/>
        <v>1</v>
      </c>
      <c r="E32" s="40">
        <f>IF(score_l_equations!E32="A",5,IF(score_l_equations!E32="B",4,IF(score_l_equations!E32="C",3,IF(score_l_equations!E32="D",1,"NULL"))))</f>
        <v>3</v>
      </c>
      <c r="F32" s="40">
        <f>IF(score_l_equations!F32="A",5,IF(score_l_equations!F32="B",4,IF(score_l_equations!F32="C",3,IF(score_l_equations!F32="D",1,"NULL"))))</f>
        <v>3</v>
      </c>
      <c r="G32" s="40">
        <f>IF(score_l_equations!G32="A",5,IF(score_l_equations!G32="B",4,IF(score_l_equations!G32="C",3,IF(score_l_equations!G32="D",1,"NULL"))))</f>
        <v>3</v>
      </c>
      <c r="H32" s="40">
        <f>IF(score_l_equations!H32="A",5,IF(score_l_equations!H32="B",4,IF(score_l_equations!H32="C",3,IF(score_l_equations!H32="D",1,"NULL"))))</f>
        <v>5</v>
      </c>
      <c r="I32" s="45">
        <f t="shared" si="11"/>
        <v>3.4641016151377544</v>
      </c>
      <c r="J32" s="40">
        <f>IF(score_l_equations!J32="A",5,IF(score_l_equations!J32="B",4,IF(score_l_equations!J32="B",4,IF(score_l_equations!J32="C",3,IF(score_l_equations!J32="C-",2,IF(score_l_equations!J32="D",1,"NULL"))))))</f>
        <v>2</v>
      </c>
      <c r="K32" s="40">
        <f>IF(score_l_equations!K32="A",5,IF(score_l_equations!K32="B",4,IF(score_l_equations!K32="B",4,IF(score_l_equations!K32="C",3,IF(score_l_equations!K32="C-",2,IF(score_l_equations!K32="D",1,"NULL"))))))</f>
        <v>2</v>
      </c>
      <c r="L32" s="40">
        <f>IF(score_l_equations!L32="A",5,IF(score_l_equations!L32="B",4,IF(score_l_equations!L32="B",4,IF(score_l_equations!L32="C",3,IF(score_l_equations!L32="C-",2,IF(score_l_equations!L32="D",1,"NULL"))))))</f>
        <v>3</v>
      </c>
      <c r="M32" s="40">
        <f>IF(score_l_equations!M32="A",5,IF(score_l_equations!M32="B",4,IF(score_l_equations!M32="B",4,IF(score_l_equations!M32="C",3,IF(score_l_equations!M32="C-",2,IF(score_l_equations!M32="D",1,"NULL"))))))</f>
        <v>3</v>
      </c>
      <c r="N32" s="40" t="str">
        <f>IF(score_l_equations!N32="A",5,IF(score_l_equations!N32="B",4,IF(score_l_equations!N32="B",4,IF(score_l_equations!N32="C",3,IF(score_l_equations!N32="C-",2,IF(score_l_equations!N32="D",1,"NULL"))))))</f>
        <v>NULL</v>
      </c>
      <c r="O32" s="40" t="str">
        <f>IF(score_l_equations!O32="A",5,IF(score_l_equations!O32="B",4,IF(score_l_equations!O32="B",4,IF(score_l_equations!O32="C",3,IF(score_l_equations!O32="C-",2,IF(score_l_equations!O32="D",1,"NULL"))))))</f>
        <v>NULL</v>
      </c>
      <c r="P32" s="45">
        <f t="shared" si="2"/>
        <v>2.5</v>
      </c>
      <c r="Q32" s="40">
        <f>IF(score_l_equations!Q32="A",5,IF(score_l_equations!Q32="B",4,IF(score_l_equations!Q32="C",3,IF(score_l_equations!Q32="D",1,"NULL"))))</f>
        <v>3</v>
      </c>
      <c r="R32" s="40">
        <f>IF(score_l_equations!R32="A",5,IF(score_l_equations!R32="B",4,IF(score_l_equations!R32="C",3,IF(score_l_equations!R32="D",1,"NULL"))))</f>
        <v>4</v>
      </c>
      <c r="S32" s="40">
        <f>IF(score_l_equations!S32="A",5,IF(score_l_equations!S32="B",4,IF(score_l_equations!S32="C",3,IF(score_l_equations!S32="D",1,"NULL"))))</f>
        <v>3</v>
      </c>
      <c r="T32" s="44">
        <f t="shared" si="3"/>
        <v>3.3333333333333335</v>
      </c>
      <c r="U32" s="40">
        <f>IF(score_l_equations!U32="A",5,IF(score_l_equations!U32="B",4,IF(score_l_equations!U32="C",3,IF(score_l_equations!U32="D",1,"NULL"))))</f>
        <v>3</v>
      </c>
      <c r="V32" s="40">
        <f>IF(score_l_equations!V32="A",5,IF(score_l_equations!V32="B",4,IF(score_l_equations!V32="C",3,IF(score_l_equations!V32="D",1,"NULL"))))</f>
        <v>5</v>
      </c>
      <c r="W32" s="40">
        <f>IF(score_l_equations!W32="A",5,IF(score_l_equations!W32="B",4,IF(score_l_equations!W32="C",3,IF(score_l_equations!W32="D",1,"NULL"))))</f>
        <v>3</v>
      </c>
      <c r="X32" s="45">
        <f t="shared" si="4"/>
        <v>3.6666666666666665</v>
      </c>
      <c r="Y32" s="40">
        <f>IF(score_l_equations!Y32="A",5,IF(score_l_equations!Y32="B",4,IF(score_l_equations!Y32="C",3,IF(score_l_equations!Y32="D",1,"NULL"))))</f>
        <v>5</v>
      </c>
      <c r="Z32" s="40">
        <f>IF(score_l_equations!Z32="A",5,IF(score_l_equations!Z32="B",4,IF(score_l_equations!Z32="C",3,IF(score_l_equations!Z32="D",1,"NULL"))))</f>
        <v>5</v>
      </c>
      <c r="AA32" s="57">
        <f t="shared" si="5"/>
        <v>5</v>
      </c>
      <c r="AB32" s="49">
        <f t="shared" si="6"/>
        <v>2.6509480821422957</v>
      </c>
      <c r="AC32" s="49">
        <f t="shared" si="7"/>
        <v>2.9083333333333337</v>
      </c>
      <c r="AD32" s="53">
        <f t="shared" si="8"/>
        <v>2.8311177579760223</v>
      </c>
      <c r="AE32" s="53">
        <f t="shared" si="9"/>
        <v>3.3311177579760223</v>
      </c>
      <c r="AF32">
        <f t="shared" si="10"/>
        <v>0.5</v>
      </c>
    </row>
    <row r="33" spans="1:32" x14ac:dyDescent="0.25">
      <c r="A33" s="33">
        <v>1915</v>
      </c>
      <c r="B33" s="40">
        <f>IF(score_l_equations!B33="A",5,IF(score_l_equations!B33="B",4,IF(score_l_equations!B33="C",3,IF(score_l_equations!B33="D",1,"NULL"))))</f>
        <v>4</v>
      </c>
      <c r="C33" s="40">
        <f>IF(score_l_equations!C33="A",5,IF(score_l_equations!C33="B",4,IF(score_l_equations!C33="C",3,IF(score_l_equations!C33="D",1,"NULL"))))</f>
        <v>4</v>
      </c>
      <c r="D33" s="45">
        <f t="shared" si="1"/>
        <v>4</v>
      </c>
      <c r="E33" s="40">
        <f>IF(score_l_equations!E33="A",5,IF(score_l_equations!E33="B",4,IF(score_l_equations!E33="C",3,IF(score_l_equations!E33="D",1,"NULL"))))</f>
        <v>5</v>
      </c>
      <c r="F33" s="40">
        <f>IF(score_l_equations!F33="A",5,IF(score_l_equations!F33="B",4,IF(score_l_equations!F33="C",3,IF(score_l_equations!F33="D",1,"NULL"))))</f>
        <v>5</v>
      </c>
      <c r="G33" s="40">
        <f>IF(score_l_equations!G33="A",5,IF(score_l_equations!G33="B",4,IF(score_l_equations!G33="C",3,IF(score_l_equations!G33="D",1,"NULL"))))</f>
        <v>3</v>
      </c>
      <c r="H33" s="40">
        <f>IF(score_l_equations!H33="A",5,IF(score_l_equations!H33="B",4,IF(score_l_equations!H33="C",3,IF(score_l_equations!H33="D",1,"NULL"))))</f>
        <v>3</v>
      </c>
      <c r="I33" s="45">
        <f t="shared" si="11"/>
        <v>3.872983346207417</v>
      </c>
      <c r="J33" s="40">
        <f>IF(score_l_equations!J33="A",5,IF(score_l_equations!J33="B",4,IF(score_l_equations!J33="B",4,IF(score_l_equations!J33="C",3,IF(score_l_equations!J33="C-",2,IF(score_l_equations!J33="D",1,"NULL"))))))</f>
        <v>3</v>
      </c>
      <c r="K33" s="40">
        <f>IF(score_l_equations!K33="A",5,IF(score_l_equations!K33="B",4,IF(score_l_equations!K33="B",4,IF(score_l_equations!K33="C",3,IF(score_l_equations!K33="C-",2,IF(score_l_equations!K33="D",1,"NULL"))))))</f>
        <v>3</v>
      </c>
      <c r="L33" s="40">
        <f>IF(score_l_equations!L33="A",5,IF(score_l_equations!L33="B",4,IF(score_l_equations!L33="B",4,IF(score_l_equations!L33="C",3,IF(score_l_equations!L33="C-",2,IF(score_l_equations!L33="D",1,"NULL"))))))</f>
        <v>4</v>
      </c>
      <c r="M33" s="40">
        <f>IF(score_l_equations!M33="A",5,IF(score_l_equations!M33="B",4,IF(score_l_equations!M33="B",4,IF(score_l_equations!M33="C",3,IF(score_l_equations!M33="C-",2,IF(score_l_equations!M33="D",1,"NULL"))))))</f>
        <v>5</v>
      </c>
      <c r="N33" s="40" t="str">
        <f>IF(score_l_equations!N33="A",5,IF(score_l_equations!N33="B",4,IF(score_l_equations!N33="B",4,IF(score_l_equations!N33="C",3,IF(score_l_equations!N33="C-",2,IF(score_l_equations!N33="D",1,"NULL"))))))</f>
        <v>NULL</v>
      </c>
      <c r="O33" s="40" t="str">
        <f>IF(score_l_equations!O33="A",5,IF(score_l_equations!O33="B",4,IF(score_l_equations!O33="B",4,IF(score_l_equations!O33="C",3,IF(score_l_equations!O33="C-",2,IF(score_l_equations!O33="D",1,"NULL"))))))</f>
        <v>NULL</v>
      </c>
      <c r="P33" s="45">
        <f t="shared" si="2"/>
        <v>3.75</v>
      </c>
      <c r="Q33" s="40">
        <f>IF(score_l_equations!Q33="A",5,IF(score_l_equations!Q33="B",4,IF(score_l_equations!Q33="C",3,IF(score_l_equations!Q33="D",1,"NULL"))))</f>
        <v>5</v>
      </c>
      <c r="R33" s="40">
        <f>IF(score_l_equations!R33="A",5,IF(score_l_equations!R33="B",4,IF(score_l_equations!R33="C",3,IF(score_l_equations!R33="D",1,"NULL"))))</f>
        <v>5</v>
      </c>
      <c r="S33" s="40">
        <f>IF(score_l_equations!S33="A",5,IF(score_l_equations!S33="B",4,IF(score_l_equations!S33="C",3,IF(score_l_equations!S33="D",1,"NULL"))))</f>
        <v>5</v>
      </c>
      <c r="T33" s="44">
        <f t="shared" si="3"/>
        <v>5</v>
      </c>
      <c r="U33" s="40">
        <f>IF(score_l_equations!U33="A",5,IF(score_l_equations!U33="B",4,IF(score_l_equations!U33="C",3,IF(score_l_equations!U33="D",1,"NULL"))))</f>
        <v>4</v>
      </c>
      <c r="V33" s="40" t="str">
        <f>IF(score_l_equations!V33="A",5,IF(score_l_equations!V33="B",4,IF(score_l_equations!V33="C",3,IF(score_l_equations!V33="D",1,"NULL"))))</f>
        <v>NULL</v>
      </c>
      <c r="W33" s="40" t="str">
        <f>IF(score_l_equations!W33="A",5,IF(score_l_equations!W33="B",4,IF(score_l_equations!W33="C",3,IF(score_l_equations!W33="D",1,"NULL"))))</f>
        <v>NULL</v>
      </c>
      <c r="X33" s="45">
        <f t="shared" si="4"/>
        <v>4</v>
      </c>
      <c r="Y33" s="40">
        <f>IF(score_l_equations!Y33="A",5,IF(score_l_equations!Y33="B",4,IF(score_l_equations!Y33="C",3,IF(score_l_equations!Y33="D",1,"NULL"))))</f>
        <v>3</v>
      </c>
      <c r="Z33" s="40">
        <f>IF(score_l_equations!Z33="A",5,IF(score_l_equations!Z33="B",4,IF(score_l_equations!Z33="C",3,IF(score_l_equations!Z33="D",1,"NULL"))))</f>
        <v>4</v>
      </c>
      <c r="AA33" s="57">
        <f t="shared" si="5"/>
        <v>3.5</v>
      </c>
      <c r="AB33" s="49">
        <f t="shared" si="6"/>
        <v>3.9148988419589692</v>
      </c>
      <c r="AC33" s="49">
        <f t="shared" si="7"/>
        <v>4.2125000000000004</v>
      </c>
      <c r="AD33" s="53">
        <f t="shared" si="8"/>
        <v>4.1232196525876912</v>
      </c>
      <c r="AE33" s="53">
        <f t="shared" si="9"/>
        <v>4.6232196525876912</v>
      </c>
      <c r="AF33">
        <f t="shared" si="10"/>
        <v>0.5</v>
      </c>
    </row>
    <row r="34" spans="1:32" x14ac:dyDescent="0.25">
      <c r="A34" s="33">
        <v>1916</v>
      </c>
      <c r="B34" s="40">
        <f>IF(score_l_equations!B34="A",5,IF(score_l_equations!B34="B",4,IF(score_l_equations!B34="C",3,IF(score_l_equations!B34="D",1,"NULL"))))</f>
        <v>1</v>
      </c>
      <c r="C34" s="40">
        <f>IF(score_l_equations!C34="A",5,IF(score_l_equations!C34="B",4,IF(score_l_equations!C34="C",3,IF(score_l_equations!C34="D",1,"NULL"))))</f>
        <v>1</v>
      </c>
      <c r="D34" s="45">
        <f t="shared" si="1"/>
        <v>1</v>
      </c>
      <c r="E34" s="40">
        <f>IF(score_l_equations!E34="A",5,IF(score_l_equations!E34="B",4,IF(score_l_equations!E34="C",3,IF(score_l_equations!E34="D",1,"NULL"))))</f>
        <v>4</v>
      </c>
      <c r="F34" s="40">
        <f>IF(score_l_equations!F34="A",5,IF(score_l_equations!F34="B",4,IF(score_l_equations!F34="C",3,IF(score_l_equations!F34="D",1,"NULL"))))</f>
        <v>3</v>
      </c>
      <c r="G34" s="40">
        <f>IF(score_l_equations!G34="A",5,IF(score_l_equations!G34="B",4,IF(score_l_equations!G34="C",3,IF(score_l_equations!G34="D",1,"NULL"))))</f>
        <v>3</v>
      </c>
      <c r="H34" s="40">
        <f>IF(score_l_equations!H34="A",5,IF(score_l_equations!H34="B",4,IF(score_l_equations!H34="C",3,IF(score_l_equations!H34="D",1,"NULL"))))</f>
        <v>3</v>
      </c>
      <c r="I34" s="45">
        <f t="shared" si="11"/>
        <v>3.2237097954706257</v>
      </c>
      <c r="J34" s="40">
        <f>IF(score_l_equations!J34="A",5,IF(score_l_equations!J34="B",4,IF(score_l_equations!J34="B",4,IF(score_l_equations!J34="C",3,IF(score_l_equations!J34="C-",2,IF(score_l_equations!J34="D",1,"NULL"))))))</f>
        <v>3</v>
      </c>
      <c r="K34" s="40">
        <f>IF(score_l_equations!K34="A",5,IF(score_l_equations!K34="B",4,IF(score_l_equations!K34="B",4,IF(score_l_equations!K34="C",3,IF(score_l_equations!K34="C-",2,IF(score_l_equations!K34="D",1,"NULL"))))))</f>
        <v>3</v>
      </c>
      <c r="L34" s="40">
        <f>IF(score_l_equations!L34="A",5,IF(score_l_equations!L34="B",4,IF(score_l_equations!L34="B",4,IF(score_l_equations!L34="C",3,IF(score_l_equations!L34="C-",2,IF(score_l_equations!L34="D",1,"NULL"))))))</f>
        <v>1</v>
      </c>
      <c r="M34" s="40">
        <f>IF(score_l_equations!M34="A",5,IF(score_l_equations!M34="B",4,IF(score_l_equations!M34="B",4,IF(score_l_equations!M34="C",3,IF(score_l_equations!M34="C-",2,IF(score_l_equations!M34="D",1,"NULL"))))))</f>
        <v>4</v>
      </c>
      <c r="N34" s="40" t="str">
        <f>IF(score_l_equations!N34="A",5,IF(score_l_equations!N34="B",4,IF(score_l_equations!N34="B",4,IF(score_l_equations!N34="C",3,IF(score_l_equations!N34="C-",2,IF(score_l_equations!N34="D",1,"NULL"))))))</f>
        <v>NULL</v>
      </c>
      <c r="O34" s="40" t="str">
        <f>IF(score_l_equations!O34="A",5,IF(score_l_equations!O34="B",4,IF(score_l_equations!O34="B",4,IF(score_l_equations!O34="C",3,IF(score_l_equations!O34="C-",2,IF(score_l_equations!O34="D",1,"NULL"))))))</f>
        <v>NULL</v>
      </c>
      <c r="P34" s="45">
        <f t="shared" si="2"/>
        <v>2.75</v>
      </c>
      <c r="Q34" s="40">
        <f>IF(score_l_equations!Q34="A",5,IF(score_l_equations!Q34="B",4,IF(score_l_equations!Q34="C",3,IF(score_l_equations!Q34="D",1,"NULL"))))</f>
        <v>3</v>
      </c>
      <c r="R34" s="40">
        <f>IF(score_l_equations!R34="A",5,IF(score_l_equations!R34="B",4,IF(score_l_equations!R34="C",3,IF(score_l_equations!R34="D",1,"NULL"))))</f>
        <v>3</v>
      </c>
      <c r="S34" s="40">
        <f>IF(score_l_equations!S34="A",5,IF(score_l_equations!S34="B",4,IF(score_l_equations!S34="C",3,IF(score_l_equations!S34="D",1,"NULL"))))</f>
        <v>5</v>
      </c>
      <c r="T34" s="44">
        <f t="shared" si="3"/>
        <v>3.6666666666666665</v>
      </c>
      <c r="U34" s="40">
        <f>IF(score_l_equations!U34="A",5,IF(score_l_equations!U34="B",4,IF(score_l_equations!U34="C",3,IF(score_l_equations!U34="D",1,"NULL"))))</f>
        <v>5</v>
      </c>
      <c r="V34" s="40">
        <f>IF(score_l_equations!V34="A",5,IF(score_l_equations!V34="B",4,IF(score_l_equations!V34="C",3,IF(score_l_equations!V34="D",1,"NULL"))))</f>
        <v>5</v>
      </c>
      <c r="W34" s="40">
        <f>IF(score_l_equations!W34="A",5,IF(score_l_equations!W34="B",4,IF(score_l_equations!W34="C",3,IF(score_l_equations!W34="D",1,"NULL"))))</f>
        <v>5</v>
      </c>
      <c r="X34" s="45">
        <f t="shared" si="4"/>
        <v>5</v>
      </c>
      <c r="Y34" s="40">
        <f>IF(score_l_equations!Y34="A",5,IF(score_l_equations!Y34="B",4,IF(score_l_equations!Y34="C",3,IF(score_l_equations!Y34="D",1,"NULL"))))</f>
        <v>4</v>
      </c>
      <c r="Z34" s="40">
        <f>IF(score_l_equations!Z34="A",5,IF(score_l_equations!Z34="B",4,IF(score_l_equations!Z34="C",3,IF(score_l_equations!Z34="D",1,"NULL"))))</f>
        <v>5</v>
      </c>
      <c r="AA34" s="57">
        <f t="shared" si="5"/>
        <v>4.5</v>
      </c>
      <c r="AB34" s="49">
        <f t="shared" si="6"/>
        <v>2.4898855629653194</v>
      </c>
      <c r="AC34" s="49">
        <f t="shared" si="7"/>
        <v>3.2958333333333334</v>
      </c>
      <c r="AD34" s="53">
        <f t="shared" si="8"/>
        <v>3.0540490022229294</v>
      </c>
      <c r="AE34" s="53">
        <f t="shared" si="9"/>
        <v>3.5540490022229294</v>
      </c>
      <c r="AF34">
        <f t="shared" si="10"/>
        <v>0.5</v>
      </c>
    </row>
    <row r="35" spans="1:32" x14ac:dyDescent="0.25">
      <c r="A35" s="33">
        <v>1917</v>
      </c>
      <c r="B35" s="40">
        <f>IF(score_l_equations!B35="A",5,IF(score_l_equations!B35="B",4,IF(score_l_equations!B35="C",3,IF(score_l_equations!B35="D",1,"NULL"))))</f>
        <v>1</v>
      </c>
      <c r="C35" s="40">
        <f>IF(score_l_equations!C35="A",5,IF(score_l_equations!C35="B",4,IF(score_l_equations!C35="C",3,IF(score_l_equations!C35="D",1,"NULL"))))</f>
        <v>1</v>
      </c>
      <c r="D35" s="45">
        <f t="shared" si="1"/>
        <v>1</v>
      </c>
      <c r="E35" s="40">
        <f>IF(score_l_equations!E35="A",5,IF(score_l_equations!E35="B",4,IF(score_l_equations!E35="C",3,IF(score_l_equations!E35="D",1,"NULL"))))</f>
        <v>1</v>
      </c>
      <c r="F35" s="40">
        <f>IF(score_l_equations!F35="A",5,IF(score_l_equations!F35="B",4,IF(score_l_equations!F35="C",3,IF(score_l_equations!F35="D",1,"NULL"))))</f>
        <v>1</v>
      </c>
      <c r="G35" s="40">
        <f>IF(score_l_equations!G35="A",5,IF(score_l_equations!G35="B",4,IF(score_l_equations!G35="C",3,IF(score_l_equations!G35="D",1,"NULL"))))</f>
        <v>4</v>
      </c>
      <c r="H35" s="40">
        <f>IF(score_l_equations!H35="A",5,IF(score_l_equations!H35="B",4,IF(score_l_equations!H35="C",3,IF(score_l_equations!H35="D",1,"NULL"))))</f>
        <v>3</v>
      </c>
      <c r="I35" s="45">
        <f t="shared" si="11"/>
        <v>1.8708286933869707</v>
      </c>
      <c r="J35" s="40">
        <f>IF(score_l_equations!J35="A",5,IF(score_l_equations!J35="B",4,IF(score_l_equations!J35="B",4,IF(score_l_equations!J35="C",3,IF(score_l_equations!J35="C-",2,IF(score_l_equations!J35="D",1,"NULL"))))))</f>
        <v>2</v>
      </c>
      <c r="K35" s="40">
        <f>IF(score_l_equations!K35="A",5,IF(score_l_equations!K35="B",4,IF(score_l_equations!K35="B",4,IF(score_l_equations!K35="C",3,IF(score_l_equations!K35="C-",2,IF(score_l_equations!K35="D",1,"NULL"))))))</f>
        <v>4</v>
      </c>
      <c r="L35" s="40">
        <f>IF(score_l_equations!L35="A",5,IF(score_l_equations!L35="B",4,IF(score_l_equations!L35="B",4,IF(score_l_equations!L35="C",3,IF(score_l_equations!L35="C-",2,IF(score_l_equations!L35="D",1,"NULL"))))))</f>
        <v>5</v>
      </c>
      <c r="M35" s="40">
        <f>IF(score_l_equations!M35="A",5,IF(score_l_equations!M35="B",4,IF(score_l_equations!M35="B",4,IF(score_l_equations!M35="C",3,IF(score_l_equations!M35="C-",2,IF(score_l_equations!M35="D",1,"NULL"))))))</f>
        <v>3</v>
      </c>
      <c r="N35" s="40">
        <f>IF(score_l_equations!N35="A",5,IF(score_l_equations!N35="B",4,IF(score_l_equations!N35="B",4,IF(score_l_equations!N35="C",3,IF(score_l_equations!N35="C-",2,IF(score_l_equations!N35="D",1,"NULL"))))))</f>
        <v>4</v>
      </c>
      <c r="O35" s="40">
        <f>IF(score_l_equations!O35="A",5,IF(score_l_equations!O35="B",4,IF(score_l_equations!O35="B",4,IF(score_l_equations!O35="C",3,IF(score_l_equations!O35="C-",2,IF(score_l_equations!O35="D",1,"NULL"))))))</f>
        <v>3</v>
      </c>
      <c r="P35" s="45">
        <f t="shared" si="2"/>
        <v>3.5</v>
      </c>
      <c r="Q35" s="40">
        <f>IF(score_l_equations!Q35="A",5,IF(score_l_equations!Q35="B",4,IF(score_l_equations!Q35="C",3,IF(score_l_equations!Q35="D",1,"NULL"))))</f>
        <v>4</v>
      </c>
      <c r="R35" s="40">
        <f>IF(score_l_equations!R35="A",5,IF(score_l_equations!R35="B",4,IF(score_l_equations!R35="C",3,IF(score_l_equations!R35="D",1,"NULL"))))</f>
        <v>1</v>
      </c>
      <c r="S35" s="40">
        <f>IF(score_l_equations!S35="A",5,IF(score_l_equations!S35="B",4,IF(score_l_equations!S35="C",3,IF(score_l_equations!S35="D",1,"NULL"))))</f>
        <v>3</v>
      </c>
      <c r="T35" s="44">
        <f t="shared" si="3"/>
        <v>2.6666666666666665</v>
      </c>
      <c r="U35" s="40">
        <f>IF(score_l_equations!U35="A",5,IF(score_l_equations!U35="B",4,IF(score_l_equations!U35="C",3,IF(score_l_equations!U35="D",1,"NULL"))))</f>
        <v>5</v>
      </c>
      <c r="V35" s="40">
        <f>IF(score_l_equations!V35="A",5,IF(score_l_equations!V35="B",4,IF(score_l_equations!V35="C",3,IF(score_l_equations!V35="D",1,"NULL"))))</f>
        <v>5</v>
      </c>
      <c r="W35" s="40">
        <f>IF(score_l_equations!W35="A",5,IF(score_l_equations!W35="B",4,IF(score_l_equations!W35="C",3,IF(score_l_equations!W35="D",1,"NULL"))))</f>
        <v>5</v>
      </c>
      <c r="X35" s="45">
        <f t="shared" si="4"/>
        <v>5</v>
      </c>
      <c r="Y35" s="40">
        <f>IF(score_l_equations!Y35="A",5,IF(score_l_equations!Y35="B",4,IF(score_l_equations!Y35="C",3,IF(score_l_equations!Y35="D",1,"NULL"))))</f>
        <v>3</v>
      </c>
      <c r="Z35" s="40">
        <f>IF(score_l_equations!Z35="A",5,IF(score_l_equations!Z35="B",4,IF(score_l_equations!Z35="C",3,IF(score_l_equations!Z35="D",1,"NULL"))))</f>
        <v>1</v>
      </c>
      <c r="AA35" s="57">
        <f t="shared" si="5"/>
        <v>2</v>
      </c>
      <c r="AB35" s="49">
        <f t="shared" si="6"/>
        <v>1.5834552245692706</v>
      </c>
      <c r="AC35" s="49">
        <f t="shared" si="7"/>
        <v>3.3583333333333334</v>
      </c>
      <c r="AD35" s="53">
        <f t="shared" si="8"/>
        <v>2.8258699007041144</v>
      </c>
      <c r="AE35" s="53">
        <f t="shared" si="9"/>
        <v>2.5758699007041144</v>
      </c>
      <c r="AF35">
        <f t="shared" si="10"/>
        <v>-0.25</v>
      </c>
    </row>
    <row r="36" spans="1:32" x14ac:dyDescent="0.25">
      <c r="A36" s="33">
        <v>1931</v>
      </c>
      <c r="B36" s="40">
        <f>IF(score_l_equations!B36="A",5,IF(score_l_equations!B36="B",4,IF(score_l_equations!B36="C",3,IF(score_l_equations!B36="D",1,"NULL"))))</f>
        <v>1</v>
      </c>
      <c r="C36" s="40">
        <f>IF(score_l_equations!C36="A",5,IF(score_l_equations!C36="B",4,IF(score_l_equations!C36="C",3,IF(score_l_equations!C36="D",1,"NULL"))))</f>
        <v>3</v>
      </c>
      <c r="D36" s="45">
        <f t="shared" si="1"/>
        <v>2</v>
      </c>
      <c r="E36" s="40">
        <f>IF(score_l_equations!E36="A",5,IF(score_l_equations!E36="B",4,IF(score_l_equations!E36="C",3,IF(score_l_equations!E36="D",1,"NULL"))))</f>
        <v>4</v>
      </c>
      <c r="F36" s="40">
        <f>IF(score_l_equations!F36="A",5,IF(score_l_equations!F36="B",4,IF(score_l_equations!F36="C",3,IF(score_l_equations!F36="D",1,"NULL"))))</f>
        <v>3</v>
      </c>
      <c r="G36" s="40">
        <f>IF(score_l_equations!G36="A",5,IF(score_l_equations!G36="B",4,IF(score_l_equations!G36="C",3,IF(score_l_equations!G36="D",1,"NULL"))))</f>
        <v>3</v>
      </c>
      <c r="H36" s="40">
        <f>IF(score_l_equations!H36="A",5,IF(score_l_equations!H36="B",4,IF(score_l_equations!H36="C",3,IF(score_l_equations!H36="D",1,"NULL"))))</f>
        <v>3</v>
      </c>
      <c r="I36" s="45">
        <f t="shared" si="11"/>
        <v>3.2237097954706257</v>
      </c>
      <c r="J36" s="40">
        <f>IF(score_l_equations!J36="A",5,IF(score_l_equations!J36="B",4,IF(score_l_equations!J36="B",4,IF(score_l_equations!J36="C",3,IF(score_l_equations!J36="C-",2,IF(score_l_equations!J36="D",1,"NULL"))))))</f>
        <v>2</v>
      </c>
      <c r="K36" s="40">
        <f>IF(score_l_equations!K36="A",5,IF(score_l_equations!K36="B",4,IF(score_l_equations!K36="B",4,IF(score_l_equations!K36="C",3,IF(score_l_equations!K36="C-",2,IF(score_l_equations!K36="D",1,"NULL"))))))</f>
        <v>2</v>
      </c>
      <c r="L36" s="40">
        <f>IF(score_l_equations!L36="A",5,IF(score_l_equations!L36="B",4,IF(score_l_equations!L36="B",4,IF(score_l_equations!L36="C",3,IF(score_l_equations!L36="C-",2,IF(score_l_equations!L36="D",1,"NULL"))))))</f>
        <v>1</v>
      </c>
      <c r="M36" s="40">
        <f>IF(score_l_equations!M36="A",5,IF(score_l_equations!M36="B",4,IF(score_l_equations!M36="B",4,IF(score_l_equations!M36="C",3,IF(score_l_equations!M36="C-",2,IF(score_l_equations!M36="D",1,"NULL"))))))</f>
        <v>1</v>
      </c>
      <c r="N36" s="40">
        <f>IF(score_l_equations!N36="A",5,IF(score_l_equations!N36="B",4,IF(score_l_equations!N36="B",4,IF(score_l_equations!N36="C",3,IF(score_l_equations!N36="C-",2,IF(score_l_equations!N36="D",1,"NULL"))))))</f>
        <v>3</v>
      </c>
      <c r="O36" s="40">
        <f>IF(score_l_equations!O36="A",5,IF(score_l_equations!O36="B",4,IF(score_l_equations!O36="B",4,IF(score_l_equations!O36="C",3,IF(score_l_equations!O36="C-",2,IF(score_l_equations!O36="D",1,"NULL"))))))</f>
        <v>5</v>
      </c>
      <c r="P36" s="45">
        <f t="shared" si="2"/>
        <v>2.3333333333333335</v>
      </c>
      <c r="Q36" s="40">
        <f>IF(score_l_equations!Q36="A",5,IF(score_l_equations!Q36="B",4,IF(score_l_equations!Q36="C",3,IF(score_l_equations!Q36="D",1,"NULL"))))</f>
        <v>1</v>
      </c>
      <c r="R36" s="40">
        <f>IF(score_l_equations!R36="A",5,IF(score_l_equations!R36="B",4,IF(score_l_equations!R36="C",3,IF(score_l_equations!R36="D",1,"NULL"))))</f>
        <v>1</v>
      </c>
      <c r="S36" s="40">
        <f>IF(score_l_equations!S36="A",5,IF(score_l_equations!S36="B",4,IF(score_l_equations!S36="C",3,IF(score_l_equations!S36="D",1,"NULL"))))</f>
        <v>1</v>
      </c>
      <c r="T36" s="44">
        <f t="shared" si="3"/>
        <v>1</v>
      </c>
      <c r="U36" s="40">
        <f>IF(score_l_equations!U36="A",5,IF(score_l_equations!U36="B",4,IF(score_l_equations!U36="C",3,IF(score_l_equations!U36="D",1,"NULL"))))</f>
        <v>4</v>
      </c>
      <c r="V36" s="40">
        <f>IF(score_l_equations!V36="A",5,IF(score_l_equations!V36="B",4,IF(score_l_equations!V36="C",3,IF(score_l_equations!V36="D",1,"NULL"))))</f>
        <v>5</v>
      </c>
      <c r="W36" s="40">
        <f>IF(score_l_equations!W36="A",5,IF(score_l_equations!W36="B",4,IF(score_l_equations!W36="C",3,IF(score_l_equations!W36="D",1,"NULL"))))</f>
        <v>4</v>
      </c>
      <c r="X36" s="45">
        <f t="shared" si="4"/>
        <v>4.333333333333333</v>
      </c>
      <c r="Y36" s="40">
        <f>IF(score_l_equations!Y36="A",5,IF(score_l_equations!Y36="B",4,IF(score_l_equations!Y36="C",3,IF(score_l_equations!Y36="D",1,"NULL"))))</f>
        <v>4</v>
      </c>
      <c r="Z36" s="40">
        <f>IF(score_l_equations!Z36="A",5,IF(score_l_equations!Z36="B",4,IF(score_l_equations!Z36="C",3,IF(score_l_equations!Z36="D",1,"NULL"))))</f>
        <v>3</v>
      </c>
      <c r="AA36" s="57">
        <f t="shared" si="5"/>
        <v>3.5</v>
      </c>
      <c r="AB36" s="49">
        <f t="shared" si="6"/>
        <v>2.8198855629653194</v>
      </c>
      <c r="AC36" s="49">
        <f t="shared" si="7"/>
        <v>2.0666666666666664</v>
      </c>
      <c r="AD36" s="53">
        <f t="shared" si="8"/>
        <v>2.2926323355562621</v>
      </c>
      <c r="AE36" s="53">
        <f t="shared" si="9"/>
        <v>2.7926323355562621</v>
      </c>
      <c r="AF36">
        <f t="shared" si="10"/>
        <v>0.5</v>
      </c>
    </row>
    <row r="37" spans="1:32" x14ac:dyDescent="0.25">
      <c r="A37" s="33">
        <v>1952</v>
      </c>
      <c r="B37" s="40">
        <f>IF(score_l_equations!B37="A",5,IF(score_l_equations!B37="B",4,IF(score_l_equations!B37="C",3,IF(score_l_equations!B37="D",1,"NULL"))))</f>
        <v>3</v>
      </c>
      <c r="C37" s="40">
        <f>IF(score_l_equations!C37="A",5,IF(score_l_equations!C37="B",4,IF(score_l_equations!C37="C",3,IF(score_l_equations!C37="D",1,"NULL"))))</f>
        <v>3</v>
      </c>
      <c r="D37" s="45">
        <f t="shared" si="1"/>
        <v>3</v>
      </c>
      <c r="E37" s="40">
        <f>IF(score_l_equations!E37="A",5,IF(score_l_equations!E37="B",4,IF(score_l_equations!E37="C",3,IF(score_l_equations!E37="D",1,"NULL"))))</f>
        <v>4</v>
      </c>
      <c r="F37" s="40">
        <f>IF(score_l_equations!F37="A",5,IF(score_l_equations!F37="B",4,IF(score_l_equations!F37="C",3,IF(score_l_equations!F37="D",1,"NULL"))))</f>
        <v>4</v>
      </c>
      <c r="G37" s="40">
        <f>IF(score_l_equations!G37="A",5,IF(score_l_equations!G37="B",4,IF(score_l_equations!G37="C",3,IF(score_l_equations!G37="D",1,"NULL"))))</f>
        <v>4</v>
      </c>
      <c r="H37" s="40">
        <f>IF(score_l_equations!H37="A",5,IF(score_l_equations!H37="B",4,IF(score_l_equations!H37="C",3,IF(score_l_equations!H37="D",1,"NULL"))))</f>
        <v>4</v>
      </c>
      <c r="I37" s="45">
        <f t="shared" si="11"/>
        <v>4</v>
      </c>
      <c r="J37" s="40">
        <f>IF(score_l_equations!J37="A",5,IF(score_l_equations!J37="B",4,IF(score_l_equations!J37="B",4,IF(score_l_equations!J37="C",3,IF(score_l_equations!J37="C-",2,IF(score_l_equations!J37="D",1,"NULL"))))))</f>
        <v>3</v>
      </c>
      <c r="K37" s="40">
        <f>IF(score_l_equations!K37="A",5,IF(score_l_equations!K37="B",4,IF(score_l_equations!K37="B",4,IF(score_l_equations!K37="C",3,IF(score_l_equations!K37="C-",2,IF(score_l_equations!K37="D",1,"NULL"))))))</f>
        <v>4</v>
      </c>
      <c r="L37" s="40">
        <f>IF(score_l_equations!L37="A",5,IF(score_l_equations!L37="B",4,IF(score_l_equations!L37="B",4,IF(score_l_equations!L37="C",3,IF(score_l_equations!L37="C-",2,IF(score_l_equations!L37="D",1,"NULL"))))))</f>
        <v>5</v>
      </c>
      <c r="M37" s="40">
        <f>IF(score_l_equations!M37="A",5,IF(score_l_equations!M37="B",4,IF(score_l_equations!M37="B",4,IF(score_l_equations!M37="C",3,IF(score_l_equations!M37="C-",2,IF(score_l_equations!M37="D",1,"NULL"))))))</f>
        <v>4</v>
      </c>
      <c r="N37" s="40">
        <f>IF(score_l_equations!N37="A",5,IF(score_l_equations!N37="B",4,IF(score_l_equations!N37="B",4,IF(score_l_equations!N37="C",3,IF(score_l_equations!N37="C-",2,IF(score_l_equations!N37="D",1,"NULL"))))))</f>
        <v>5</v>
      </c>
      <c r="O37" s="40">
        <f>IF(score_l_equations!O37="A",5,IF(score_l_equations!O37="B",4,IF(score_l_equations!O37="B",4,IF(score_l_equations!O37="C",3,IF(score_l_equations!O37="C-",2,IF(score_l_equations!O37="D",1,"NULL"))))))</f>
        <v>5</v>
      </c>
      <c r="P37" s="45">
        <f t="shared" si="2"/>
        <v>4.333333333333333</v>
      </c>
      <c r="Q37" s="40">
        <f>IF(score_l_equations!Q37="A",5,IF(score_l_equations!Q37="B",4,IF(score_l_equations!Q37="C",3,IF(score_l_equations!Q37="D",1,"NULL"))))</f>
        <v>4</v>
      </c>
      <c r="R37" s="40">
        <f>IF(score_l_equations!R37="A",5,IF(score_l_equations!R37="B",4,IF(score_l_equations!R37="C",3,IF(score_l_equations!R37="D",1,"NULL"))))</f>
        <v>3</v>
      </c>
      <c r="S37" s="40">
        <f>IF(score_l_equations!S37="A",5,IF(score_l_equations!S37="B",4,IF(score_l_equations!S37="C",3,IF(score_l_equations!S37="D",1,"NULL"))))</f>
        <v>5</v>
      </c>
      <c r="T37" s="44">
        <f t="shared" si="3"/>
        <v>4</v>
      </c>
      <c r="U37" s="40">
        <f>IF(score_l_equations!U37="A",5,IF(score_l_equations!U37="B",4,IF(score_l_equations!U37="C",3,IF(score_l_equations!U37="D",1,"NULL"))))</f>
        <v>4</v>
      </c>
      <c r="V37" s="40">
        <f>IF(score_l_equations!V37="A",5,IF(score_l_equations!V37="B",4,IF(score_l_equations!V37="C",3,IF(score_l_equations!V37="D",1,"NULL"))))</f>
        <v>5</v>
      </c>
      <c r="W37" s="40">
        <f>IF(score_l_equations!W37="A",5,IF(score_l_equations!W37="B",4,IF(score_l_equations!W37="C",3,IF(score_l_equations!W37="D",1,"NULL"))))</f>
        <v>5</v>
      </c>
      <c r="X37" s="45">
        <f t="shared" si="4"/>
        <v>4.666666666666667</v>
      </c>
      <c r="Y37" s="40">
        <f>IF(score_l_equations!Y37="A",5,IF(score_l_equations!Y37="B",4,IF(score_l_equations!Y37="C",3,IF(score_l_equations!Y37="D",1,"NULL"))))</f>
        <v>4</v>
      </c>
      <c r="Z37" s="40">
        <f>IF(score_l_equations!Z37="A",5,IF(score_l_equations!Z37="B",4,IF(score_l_equations!Z37="C",3,IF(score_l_equations!Z37="D",1,"NULL"))))</f>
        <v>3</v>
      </c>
      <c r="AA37" s="57">
        <f t="shared" si="5"/>
        <v>3.5</v>
      </c>
      <c r="AB37" s="49">
        <f t="shared" si="6"/>
        <v>3.67</v>
      </c>
      <c r="AC37" s="49">
        <f t="shared" si="7"/>
        <v>4.25</v>
      </c>
      <c r="AD37" s="53">
        <f t="shared" si="8"/>
        <v>4.0759999999999996</v>
      </c>
      <c r="AE37" s="53">
        <f t="shared" si="9"/>
        <v>4.5759999999999996</v>
      </c>
      <c r="AF37">
        <f t="shared" si="10"/>
        <v>0.5</v>
      </c>
    </row>
    <row r="38" spans="1:32" x14ac:dyDescent="0.25">
      <c r="A38" s="33">
        <v>1960</v>
      </c>
      <c r="B38" s="40">
        <f>IF(score_l_equations!B38="A",5,IF(score_l_equations!B38="B",4,IF(score_l_equations!B38="C",3,IF(score_l_equations!B38="D",1,"NULL"))))</f>
        <v>3</v>
      </c>
      <c r="C38" s="40">
        <f>IF(score_l_equations!C38="A",5,IF(score_l_equations!C38="B",4,IF(score_l_equations!C38="C",3,IF(score_l_equations!C38="D",1,"NULL"))))</f>
        <v>5</v>
      </c>
      <c r="D38" s="45">
        <f t="shared" si="1"/>
        <v>4</v>
      </c>
      <c r="E38" s="40">
        <f>IF(score_l_equations!E38="A",5,IF(score_l_equations!E38="B",4,IF(score_l_equations!E38="C",3,IF(score_l_equations!E38="D",1,"NULL"))))</f>
        <v>5</v>
      </c>
      <c r="F38" s="40">
        <f>IF(score_l_equations!F38="A",5,IF(score_l_equations!F38="B",4,IF(score_l_equations!F38="C",3,IF(score_l_equations!F38="D",1,"NULL"))))</f>
        <v>4</v>
      </c>
      <c r="G38" s="40">
        <f>IF(score_l_equations!G38="A",5,IF(score_l_equations!G38="B",4,IF(score_l_equations!G38="C",3,IF(score_l_equations!G38="D",1,"NULL"))))</f>
        <v>5</v>
      </c>
      <c r="H38" s="40">
        <f>IF(score_l_equations!H38="A",5,IF(score_l_equations!H38="B",4,IF(score_l_equations!H38="C",3,IF(score_l_equations!H38="D",1,"NULL"))))</f>
        <v>4</v>
      </c>
      <c r="I38" s="45">
        <f t="shared" si="11"/>
        <v>4.486046343663662</v>
      </c>
      <c r="J38" s="40">
        <f>IF(score_l_equations!J38="A",5,IF(score_l_equations!J38="B",4,IF(score_l_equations!J38="B",4,IF(score_l_equations!J38="C",3,IF(score_l_equations!J38="C-",2,IF(score_l_equations!J38="D",1,"NULL"))))))</f>
        <v>3</v>
      </c>
      <c r="K38" s="40">
        <f>IF(score_l_equations!K38="A",5,IF(score_l_equations!K38="B",4,IF(score_l_equations!K38="B",4,IF(score_l_equations!K38="C",3,IF(score_l_equations!K38="C-",2,IF(score_l_equations!K38="D",1,"NULL"))))))</f>
        <v>4</v>
      </c>
      <c r="L38" s="40">
        <f>IF(score_l_equations!L38="A",5,IF(score_l_equations!L38="B",4,IF(score_l_equations!L38="B",4,IF(score_l_equations!L38="C",3,IF(score_l_equations!L38="C-",2,IF(score_l_equations!L38="D",1,"NULL"))))))</f>
        <v>5</v>
      </c>
      <c r="M38" s="40">
        <f>IF(score_l_equations!M38="A",5,IF(score_l_equations!M38="B",4,IF(score_l_equations!M38="B",4,IF(score_l_equations!M38="C",3,IF(score_l_equations!M38="C-",2,IF(score_l_equations!M38="D",1,"NULL"))))))</f>
        <v>5</v>
      </c>
      <c r="N38" s="40" t="str">
        <f>IF(score_l_equations!N38="A",5,IF(score_l_equations!N38="B",4,IF(score_l_equations!N38="B",4,IF(score_l_equations!N38="C",3,IF(score_l_equations!N38="C-",2,IF(score_l_equations!N38="D",1,"NULL"))))))</f>
        <v>NULL</v>
      </c>
      <c r="O38" s="40" t="str">
        <f>IF(score_l_equations!O38="A",5,IF(score_l_equations!O38="B",4,IF(score_l_equations!O38="B",4,IF(score_l_equations!O38="C",3,IF(score_l_equations!O38="C-",2,IF(score_l_equations!O38="D",1,"NULL"))))))</f>
        <v>NULL</v>
      </c>
      <c r="P38" s="45">
        <f t="shared" si="2"/>
        <v>4.25</v>
      </c>
      <c r="Q38" s="40">
        <f>IF(score_l_equations!Q38="A",5,IF(score_l_equations!Q38="B",4,IF(score_l_equations!Q38="C",3,IF(score_l_equations!Q38="D",1,"NULL"))))</f>
        <v>5</v>
      </c>
      <c r="R38" s="40">
        <f>IF(score_l_equations!R38="A",5,IF(score_l_equations!R38="B",4,IF(score_l_equations!R38="C",3,IF(score_l_equations!R38="D",1,"NULL"))))</f>
        <v>5</v>
      </c>
      <c r="S38" s="40">
        <f>IF(score_l_equations!S38="A",5,IF(score_l_equations!S38="B",4,IF(score_l_equations!S38="C",3,IF(score_l_equations!S38="D",1,"NULL"))))</f>
        <v>5</v>
      </c>
      <c r="T38" s="44">
        <f t="shared" si="3"/>
        <v>5</v>
      </c>
      <c r="U38" s="40">
        <f>IF(score_l_equations!U38="A",5,IF(score_l_equations!U38="B",4,IF(score_l_equations!U38="C",3,IF(score_l_equations!U38="D",1,"NULL"))))</f>
        <v>5</v>
      </c>
      <c r="V38" s="40">
        <f>IF(score_l_equations!V38="A",5,IF(score_l_equations!V38="B",4,IF(score_l_equations!V38="C",3,IF(score_l_equations!V38="D",1,"NULL"))))</f>
        <v>5</v>
      </c>
      <c r="W38" s="40">
        <f>IF(score_l_equations!W38="A",5,IF(score_l_equations!W38="B",4,IF(score_l_equations!W38="C",3,IF(score_l_equations!W38="D",1,"NULL"))))</f>
        <v>5</v>
      </c>
      <c r="X38" s="45">
        <f t="shared" si="4"/>
        <v>5</v>
      </c>
      <c r="Y38" s="40">
        <f>IF(score_l_equations!Y38="A",5,IF(score_l_equations!Y38="B",4,IF(score_l_equations!Y38="C",3,IF(score_l_equations!Y38="D",1,"NULL"))))</f>
        <v>4</v>
      </c>
      <c r="Z38" s="40">
        <f>IF(score_l_equations!Z38="A",5,IF(score_l_equations!Z38="B",4,IF(score_l_equations!Z38="C",3,IF(score_l_equations!Z38="D",1,"NULL"))))</f>
        <v>5</v>
      </c>
      <c r="AA38" s="57">
        <f t="shared" si="5"/>
        <v>4.5</v>
      </c>
      <c r="AB38" s="49">
        <f t="shared" si="6"/>
        <v>4.3256510502546535</v>
      </c>
      <c r="AC38" s="49">
        <f t="shared" si="7"/>
        <v>4.5875000000000004</v>
      </c>
      <c r="AD38" s="53">
        <f t="shared" si="8"/>
        <v>4.5089453150763958</v>
      </c>
      <c r="AE38" s="53">
        <f t="shared" si="9"/>
        <v>5.0089453150763958</v>
      </c>
      <c r="AF38">
        <f t="shared" si="10"/>
        <v>0.5</v>
      </c>
    </row>
    <row r="39" spans="1:32" x14ac:dyDescent="0.25">
      <c r="A39" s="33">
        <v>1961</v>
      </c>
      <c r="B39" s="40">
        <f>IF(score_l_equations!B39="A",5,IF(score_l_equations!B39="B",4,IF(score_l_equations!B39="C",3,IF(score_l_equations!B39="D",1,"NULL"))))</f>
        <v>1</v>
      </c>
      <c r="C39" s="40">
        <f>IF(score_l_equations!C39="A",5,IF(score_l_equations!C39="B",4,IF(score_l_equations!C39="C",3,IF(score_l_equations!C39="D",1,"NULL"))))</f>
        <v>1</v>
      </c>
      <c r="D39" s="45">
        <f t="shared" si="1"/>
        <v>1</v>
      </c>
      <c r="E39" s="40">
        <f>IF(score_l_equations!E39="A",5,IF(score_l_equations!E39="B",4,IF(score_l_equations!E39="C",3,IF(score_l_equations!E39="D",1,"NULL"))))</f>
        <v>5</v>
      </c>
      <c r="F39" s="40">
        <f>IF(score_l_equations!F39="A",5,IF(score_l_equations!F39="B",4,IF(score_l_equations!F39="C",3,IF(score_l_equations!F39="D",1,"NULL"))))</f>
        <v>3</v>
      </c>
      <c r="G39" s="40">
        <f>IF(score_l_equations!G39="A",5,IF(score_l_equations!G39="B",4,IF(score_l_equations!G39="C",3,IF(score_l_equations!G39="D",1,"NULL"))))</f>
        <v>3</v>
      </c>
      <c r="H39" s="40">
        <f>IF(score_l_equations!H39="A",5,IF(score_l_equations!H39="B",4,IF(score_l_equations!H39="C",3,IF(score_l_equations!H39="D",1,"NULL"))))</f>
        <v>3</v>
      </c>
      <c r="I39" s="45">
        <f t="shared" si="11"/>
        <v>3.4086580994024982</v>
      </c>
      <c r="J39" s="40">
        <f>IF(score_l_equations!J39="A",5,IF(score_l_equations!J39="B",4,IF(score_l_equations!J39="B",4,IF(score_l_equations!J39="C",3,IF(score_l_equations!J39="C-",2,IF(score_l_equations!J39="D",1,"NULL"))))))</f>
        <v>4</v>
      </c>
      <c r="K39" s="40">
        <f>IF(score_l_equations!K39="A",5,IF(score_l_equations!K39="B",4,IF(score_l_equations!K39="B",4,IF(score_l_equations!K39="C",3,IF(score_l_equations!K39="C-",2,IF(score_l_equations!K39="D",1,"NULL"))))))</f>
        <v>4</v>
      </c>
      <c r="L39" s="40">
        <f>IF(score_l_equations!L39="A",5,IF(score_l_equations!L39="B",4,IF(score_l_equations!L39="B",4,IF(score_l_equations!L39="C",3,IF(score_l_equations!L39="C-",2,IF(score_l_equations!L39="D",1,"NULL"))))))</f>
        <v>3</v>
      </c>
      <c r="M39" s="40">
        <f>IF(score_l_equations!M39="A",5,IF(score_l_equations!M39="B",4,IF(score_l_equations!M39="B",4,IF(score_l_equations!M39="C",3,IF(score_l_equations!M39="C-",2,IF(score_l_equations!M39="D",1,"NULL"))))))</f>
        <v>1</v>
      </c>
      <c r="N39" s="40" t="str">
        <f>IF(score_l_equations!N39="A",5,IF(score_l_equations!N39="B",4,IF(score_l_equations!N39="B",4,IF(score_l_equations!N39="C",3,IF(score_l_equations!N39="C-",2,IF(score_l_equations!N39="D",1,"NULL"))))))</f>
        <v>NULL</v>
      </c>
      <c r="O39" s="40" t="str">
        <f>IF(score_l_equations!O39="A",5,IF(score_l_equations!O39="B",4,IF(score_l_equations!O39="B",4,IF(score_l_equations!O39="C",3,IF(score_l_equations!O39="C-",2,IF(score_l_equations!O39="D",1,"NULL"))))))</f>
        <v>NULL</v>
      </c>
      <c r="P39" s="45">
        <f t="shared" si="2"/>
        <v>3</v>
      </c>
      <c r="Q39" s="40">
        <f>IF(score_l_equations!Q39="A",5,IF(score_l_equations!Q39="B",4,IF(score_l_equations!Q39="C",3,IF(score_l_equations!Q39="D",1,"NULL"))))</f>
        <v>1</v>
      </c>
      <c r="R39" s="40">
        <f>IF(score_l_equations!R39="A",5,IF(score_l_equations!R39="B",4,IF(score_l_equations!R39="C",3,IF(score_l_equations!R39="D",1,"NULL"))))</f>
        <v>1</v>
      </c>
      <c r="S39" s="40">
        <f>IF(score_l_equations!S39="A",5,IF(score_l_equations!S39="B",4,IF(score_l_equations!S39="C",3,IF(score_l_equations!S39="D",1,"NULL"))))</f>
        <v>1</v>
      </c>
      <c r="T39" s="44">
        <f t="shared" si="3"/>
        <v>1</v>
      </c>
      <c r="U39" s="40">
        <f>IF(score_l_equations!U39="A",5,IF(score_l_equations!U39="B",4,IF(score_l_equations!U39="C",3,IF(score_l_equations!U39="D",1,"NULL"))))</f>
        <v>5</v>
      </c>
      <c r="V39" s="40">
        <f>IF(score_l_equations!V39="A",5,IF(score_l_equations!V39="B",4,IF(score_l_equations!V39="C",3,IF(score_l_equations!V39="D",1,"NULL"))))</f>
        <v>3</v>
      </c>
      <c r="W39" s="40">
        <f>IF(score_l_equations!W39="A",5,IF(score_l_equations!W39="B",4,IF(score_l_equations!W39="C",3,IF(score_l_equations!W39="D",1,"NULL"))))</f>
        <v>5</v>
      </c>
      <c r="X39" s="45">
        <f t="shared" si="4"/>
        <v>4.333333333333333</v>
      </c>
      <c r="Y39" s="40">
        <f>IF(score_l_equations!Y39="A",5,IF(score_l_equations!Y39="B",4,IF(score_l_equations!Y39="C",3,IF(score_l_equations!Y39="D",1,"NULL"))))</f>
        <v>1</v>
      </c>
      <c r="Z39" s="40">
        <f>IF(score_l_equations!Z39="A",5,IF(score_l_equations!Z39="B",4,IF(score_l_equations!Z39="C",3,IF(score_l_equations!Z39="D",1,"NULL"))))</f>
        <v>5</v>
      </c>
      <c r="AA39" s="57">
        <f t="shared" si="5"/>
        <v>3</v>
      </c>
      <c r="AB39" s="49">
        <f t="shared" si="6"/>
        <v>2.6138009265996738</v>
      </c>
      <c r="AC39" s="49">
        <f t="shared" si="7"/>
        <v>2.4333333333333336</v>
      </c>
      <c r="AD39" s="53">
        <f t="shared" si="8"/>
        <v>2.4874736113132356</v>
      </c>
      <c r="AE39" s="53">
        <f t="shared" si="9"/>
        <v>2.7374736113132356</v>
      </c>
      <c r="AF39">
        <f t="shared" si="10"/>
        <v>0.25</v>
      </c>
    </row>
    <row r="40" spans="1:32" x14ac:dyDescent="0.25">
      <c r="A40" s="33">
        <v>1962</v>
      </c>
      <c r="B40" s="40">
        <f>IF(score_l_equations!B40="A",5,IF(score_l_equations!B40="B",4,IF(score_l_equations!B40="C",3,IF(score_l_equations!B40="D",1,"NULL"))))</f>
        <v>1</v>
      </c>
      <c r="C40" s="40">
        <f>IF(score_l_equations!C40="A",5,IF(score_l_equations!C40="B",4,IF(score_l_equations!C40="C",3,IF(score_l_equations!C40="D",1,"NULL"))))</f>
        <v>1</v>
      </c>
      <c r="D40" s="45">
        <f t="shared" si="1"/>
        <v>1</v>
      </c>
      <c r="E40" s="40">
        <f>IF(score_l_equations!E40="A",5,IF(score_l_equations!E40="B",4,IF(score_l_equations!E40="C",3,IF(score_l_equations!E40="D",1,"NULL"))))</f>
        <v>4</v>
      </c>
      <c r="F40" s="40">
        <f>IF(score_l_equations!F40="A",5,IF(score_l_equations!F40="B",4,IF(score_l_equations!F40="C",3,IF(score_l_equations!F40="D",1,"NULL"))))</f>
        <v>3</v>
      </c>
      <c r="G40" s="40">
        <f>IF(score_l_equations!G40="A",5,IF(score_l_equations!G40="B",4,IF(score_l_equations!G40="C",3,IF(score_l_equations!G40="D",1,"NULL"))))</f>
        <v>1</v>
      </c>
      <c r="H40" s="40">
        <f>IF(score_l_equations!H40="A",5,IF(score_l_equations!H40="B",4,IF(score_l_equations!H40="C",3,IF(score_l_equations!H40="D",1,"NULL"))))</f>
        <v>3</v>
      </c>
      <c r="I40" s="45">
        <f t="shared" si="11"/>
        <v>2.6321480259049848</v>
      </c>
      <c r="J40" s="40">
        <f>IF(score_l_equations!J40="A",5,IF(score_l_equations!J40="B",4,IF(score_l_equations!J40="B",4,IF(score_l_equations!J40="C",3,IF(score_l_equations!J40="C-",2,IF(score_l_equations!J40="D",1,"NULL"))))))</f>
        <v>2</v>
      </c>
      <c r="K40" s="40">
        <f>IF(score_l_equations!K40="A",5,IF(score_l_equations!K40="B",4,IF(score_l_equations!K40="B",4,IF(score_l_equations!K40="C",3,IF(score_l_equations!K40="C-",2,IF(score_l_equations!K40="D",1,"NULL"))))))</f>
        <v>3</v>
      </c>
      <c r="L40" s="40">
        <f>IF(score_l_equations!L40="A",5,IF(score_l_equations!L40="B",4,IF(score_l_equations!L40="B",4,IF(score_l_equations!L40="C",3,IF(score_l_equations!L40="C-",2,IF(score_l_equations!L40="D",1,"NULL"))))))</f>
        <v>3</v>
      </c>
      <c r="M40" s="40">
        <f>IF(score_l_equations!M40="A",5,IF(score_l_equations!M40="B",4,IF(score_l_equations!M40="B",4,IF(score_l_equations!M40="C",3,IF(score_l_equations!M40="C-",2,IF(score_l_equations!M40="D",1,"NULL"))))))</f>
        <v>5</v>
      </c>
      <c r="N40" s="40" t="str">
        <f>IF(score_l_equations!N40="A",5,IF(score_l_equations!N40="B",4,IF(score_l_equations!N40="B",4,IF(score_l_equations!N40="C",3,IF(score_l_equations!N40="C-",2,IF(score_l_equations!N40="D",1,"NULL"))))))</f>
        <v>NULL</v>
      </c>
      <c r="O40" s="40" t="str">
        <f>IF(score_l_equations!O40="A",5,IF(score_l_equations!O40="B",4,IF(score_l_equations!O40="B",4,IF(score_l_equations!O40="C",3,IF(score_l_equations!O40="C-",2,IF(score_l_equations!O40="D",1,"NULL"))))))</f>
        <v>NULL</v>
      </c>
      <c r="P40" s="45">
        <f t="shared" si="2"/>
        <v>3.25</v>
      </c>
      <c r="Q40" s="40">
        <f>IF(score_l_equations!Q40="A",5,IF(score_l_equations!Q40="B",4,IF(score_l_equations!Q40="C",3,IF(score_l_equations!Q40="D",1,"NULL"))))</f>
        <v>1</v>
      </c>
      <c r="R40" s="40">
        <f>IF(score_l_equations!R40="A",5,IF(score_l_equations!R40="B",4,IF(score_l_equations!R40="C",3,IF(score_l_equations!R40="D",1,"NULL"))))</f>
        <v>3</v>
      </c>
      <c r="S40" s="40">
        <f>IF(score_l_equations!S40="A",5,IF(score_l_equations!S40="B",4,IF(score_l_equations!S40="C",3,IF(score_l_equations!S40="D",1,"NULL"))))</f>
        <v>4</v>
      </c>
      <c r="T40" s="44">
        <f t="shared" si="3"/>
        <v>2.6666666666666665</v>
      </c>
      <c r="U40" s="40">
        <f>IF(score_l_equations!U40="A",5,IF(score_l_equations!U40="B",4,IF(score_l_equations!U40="C",3,IF(score_l_equations!U40="D",1,"NULL"))))</f>
        <v>4</v>
      </c>
      <c r="V40" s="40">
        <f>IF(score_l_equations!V40="A",5,IF(score_l_equations!V40="B",4,IF(score_l_equations!V40="C",3,IF(score_l_equations!V40="D",1,"NULL"))))</f>
        <v>5</v>
      </c>
      <c r="W40" s="40">
        <f>IF(score_l_equations!W40="A",5,IF(score_l_equations!W40="B",4,IF(score_l_equations!W40="C",3,IF(score_l_equations!W40="D",1,"NULL"))))</f>
        <v>3</v>
      </c>
      <c r="X40" s="45">
        <f t="shared" si="4"/>
        <v>4</v>
      </c>
      <c r="Y40" s="40">
        <f>IF(score_l_equations!Y40="A",5,IF(score_l_equations!Y40="B",4,IF(score_l_equations!Y40="C",3,IF(score_l_equations!Y40="D",1,"NULL"))))</f>
        <v>1</v>
      </c>
      <c r="Z40" s="40">
        <f>IF(score_l_equations!Z40="A",5,IF(score_l_equations!Z40="B",4,IF(score_l_equations!Z40="C",3,IF(score_l_equations!Z40="D",1,"NULL"))))</f>
        <v>1</v>
      </c>
      <c r="AA40" s="57">
        <f t="shared" si="5"/>
        <v>1</v>
      </c>
      <c r="AB40" s="49">
        <f t="shared" si="6"/>
        <v>2.0935391773563397</v>
      </c>
      <c r="AC40" s="49">
        <f t="shared" si="7"/>
        <v>3.1208333333333331</v>
      </c>
      <c r="AD40" s="53">
        <f t="shared" si="8"/>
        <v>2.8126450865402348</v>
      </c>
      <c r="AE40" s="53">
        <f t="shared" si="9"/>
        <v>2.3126450865402348</v>
      </c>
      <c r="AF40">
        <f t="shared" si="10"/>
        <v>-0.5</v>
      </c>
    </row>
    <row r="41" spans="1:32" x14ac:dyDescent="0.25">
      <c r="A41" s="33">
        <v>1964</v>
      </c>
      <c r="B41" s="40">
        <f>IF(score_l_equations!B41="A",5,IF(score_l_equations!B41="B",4,IF(score_l_equations!B41="C",3,IF(score_l_equations!B41="D",1,"NULL"))))</f>
        <v>1</v>
      </c>
      <c r="C41" s="40">
        <f>IF(score_l_equations!C41="A",5,IF(score_l_equations!C41="B",4,IF(score_l_equations!C41="C",3,IF(score_l_equations!C41="D",1,"NULL"))))</f>
        <v>1</v>
      </c>
      <c r="D41" s="45">
        <f t="shared" si="1"/>
        <v>1</v>
      </c>
      <c r="E41" s="40">
        <f>IF(score_l_equations!E41="A",5,IF(score_l_equations!E41="B",4,IF(score_l_equations!E41="C",3,IF(score_l_equations!E41="D",1,"NULL"))))</f>
        <v>4</v>
      </c>
      <c r="F41" s="40">
        <f>IF(score_l_equations!F41="A",5,IF(score_l_equations!F41="B",4,IF(score_l_equations!F41="C",3,IF(score_l_equations!F41="D",1,"NULL"))))</f>
        <v>3</v>
      </c>
      <c r="G41" s="40">
        <f>IF(score_l_equations!G41="A",5,IF(score_l_equations!G41="B",4,IF(score_l_equations!G41="C",3,IF(score_l_equations!G41="D",1,"NULL"))))</f>
        <v>3</v>
      </c>
      <c r="H41" s="40">
        <f>IF(score_l_equations!H41="A",5,IF(score_l_equations!H41="B",4,IF(score_l_equations!H41="C",3,IF(score_l_equations!H41="D",1,"NULL"))))</f>
        <v>3</v>
      </c>
      <c r="I41" s="45">
        <f t="shared" si="11"/>
        <v>3.2237097954706257</v>
      </c>
      <c r="J41" s="40">
        <f>IF(score_l_equations!J41="A",5,IF(score_l_equations!J41="B",4,IF(score_l_equations!J41="B",4,IF(score_l_equations!J41="C",3,IF(score_l_equations!J41="C-",2,IF(score_l_equations!J41="D",1,"NULL"))))))</f>
        <v>1</v>
      </c>
      <c r="K41" s="40">
        <f>IF(score_l_equations!K41="A",5,IF(score_l_equations!K41="B",4,IF(score_l_equations!K41="B",4,IF(score_l_equations!K41="C",3,IF(score_l_equations!K41="C-",2,IF(score_l_equations!K41="D",1,"NULL"))))))</f>
        <v>3</v>
      </c>
      <c r="L41" s="40">
        <f>IF(score_l_equations!L41="A",5,IF(score_l_equations!L41="B",4,IF(score_l_equations!L41="B",4,IF(score_l_equations!L41="C",3,IF(score_l_equations!L41="C-",2,IF(score_l_equations!L41="D",1,"NULL"))))))</f>
        <v>1</v>
      </c>
      <c r="M41" s="40">
        <f>IF(score_l_equations!M41="A",5,IF(score_l_equations!M41="B",4,IF(score_l_equations!M41="B",4,IF(score_l_equations!M41="C",3,IF(score_l_equations!M41="C-",2,IF(score_l_equations!M41="D",1,"NULL"))))))</f>
        <v>5</v>
      </c>
      <c r="N41" s="40">
        <f>IF(score_l_equations!N41="A",5,IF(score_l_equations!N41="B",4,IF(score_l_equations!N41="B",4,IF(score_l_equations!N41="C",3,IF(score_l_equations!N41="C-",2,IF(score_l_equations!N41="D",1,"NULL"))))))</f>
        <v>4</v>
      </c>
      <c r="O41" s="40">
        <f>IF(score_l_equations!O41="A",5,IF(score_l_equations!O41="B",4,IF(score_l_equations!O41="B",4,IF(score_l_equations!O41="C",3,IF(score_l_equations!O41="C-",2,IF(score_l_equations!O41="D",1,"NULL"))))))</f>
        <v>5</v>
      </c>
      <c r="P41" s="45">
        <f t="shared" si="2"/>
        <v>3.1666666666666665</v>
      </c>
      <c r="Q41" s="40">
        <f>IF(score_l_equations!Q41="A",5,IF(score_l_equations!Q41="B",4,IF(score_l_equations!Q41="C",3,IF(score_l_equations!Q41="D",1,"NULL"))))</f>
        <v>5</v>
      </c>
      <c r="R41" s="40">
        <f>IF(score_l_equations!R41="A",5,IF(score_l_equations!R41="B",4,IF(score_l_equations!R41="C",3,IF(score_l_equations!R41="D",1,"NULL"))))</f>
        <v>3</v>
      </c>
      <c r="S41" s="40">
        <f>IF(score_l_equations!S41="A",5,IF(score_l_equations!S41="B",4,IF(score_l_equations!S41="C",3,IF(score_l_equations!S41="D",1,"NULL"))))</f>
        <v>5</v>
      </c>
      <c r="T41" s="44">
        <f t="shared" si="3"/>
        <v>4.333333333333333</v>
      </c>
      <c r="U41" s="40">
        <f>IF(score_l_equations!U41="A",5,IF(score_l_equations!U41="B",4,IF(score_l_equations!U41="C",3,IF(score_l_equations!U41="D",1,"NULL"))))</f>
        <v>4</v>
      </c>
      <c r="V41" s="40">
        <f>IF(score_l_equations!V41="A",5,IF(score_l_equations!V41="B",4,IF(score_l_equations!V41="C",3,IF(score_l_equations!V41="D",1,"NULL"))))</f>
        <v>4</v>
      </c>
      <c r="W41" s="40">
        <f>IF(score_l_equations!W41="A",5,IF(score_l_equations!W41="B",4,IF(score_l_equations!W41="C",3,IF(score_l_equations!W41="D",1,"NULL"))))</f>
        <v>4</v>
      </c>
      <c r="X41" s="45">
        <f t="shared" si="4"/>
        <v>4</v>
      </c>
      <c r="Y41" s="40">
        <f>IF(score_l_equations!Y41="A",5,IF(score_l_equations!Y41="B",4,IF(score_l_equations!Y41="C",3,IF(score_l_equations!Y41="D",1,"NULL"))))</f>
        <v>3</v>
      </c>
      <c r="Z41" s="40">
        <f>IF(score_l_equations!Z41="A",5,IF(score_l_equations!Z41="B",4,IF(score_l_equations!Z41="C",3,IF(score_l_equations!Z41="D",1,"NULL"))))</f>
        <v>1</v>
      </c>
      <c r="AA41" s="57">
        <f t="shared" si="5"/>
        <v>2</v>
      </c>
      <c r="AB41" s="49">
        <f t="shared" si="6"/>
        <v>2.4898855629653194</v>
      </c>
      <c r="AC41" s="49">
        <f t="shared" si="7"/>
        <v>3.6583333333333328</v>
      </c>
      <c r="AD41" s="53">
        <f t="shared" si="8"/>
        <v>3.3077990022229287</v>
      </c>
      <c r="AE41" s="53">
        <f t="shared" si="9"/>
        <v>3.0577990022229287</v>
      </c>
      <c r="AF41">
        <f t="shared" si="10"/>
        <v>-0.25</v>
      </c>
    </row>
    <row r="42" spans="1:32" x14ac:dyDescent="0.25">
      <c r="A42" s="33">
        <v>1965</v>
      </c>
      <c r="B42" s="40">
        <f>IF(score_l_equations!B42="A",5,IF(score_l_equations!B42="B",4,IF(score_l_equations!B42="C",3,IF(score_l_equations!B42="D",1,"NULL"))))</f>
        <v>5</v>
      </c>
      <c r="C42" s="40">
        <f>IF(score_l_equations!C42="A",5,IF(score_l_equations!C42="B",4,IF(score_l_equations!C42="C",3,IF(score_l_equations!C42="D",1,"NULL"))))</f>
        <v>5</v>
      </c>
      <c r="D42" s="45">
        <f t="shared" si="1"/>
        <v>5</v>
      </c>
      <c r="E42" s="40">
        <f>IF(score_l_equations!E42="A",5,IF(score_l_equations!E42="B",4,IF(score_l_equations!E42="C",3,IF(score_l_equations!E42="D",1,"NULL"))))</f>
        <v>5</v>
      </c>
      <c r="F42" s="40">
        <f>IF(score_l_equations!F42="A",5,IF(score_l_equations!F42="B",4,IF(score_l_equations!F42="C",3,IF(score_l_equations!F42="D",1,"NULL"))))</f>
        <v>5</v>
      </c>
      <c r="G42" s="40">
        <f>IF(score_l_equations!G42="A",5,IF(score_l_equations!G42="B",4,IF(score_l_equations!G42="C",3,IF(score_l_equations!G42="D",1,"NULL"))))</f>
        <v>4</v>
      </c>
      <c r="H42" s="40">
        <f>IF(score_l_equations!H42="A",5,IF(score_l_equations!H42="B",4,IF(score_l_equations!H42="C",3,IF(score_l_equations!H42="D",1,"NULL"))))</f>
        <v>5</v>
      </c>
      <c r="I42" s="45">
        <f t="shared" si="11"/>
        <v>4.7434164902525691</v>
      </c>
      <c r="J42" s="40">
        <f>IF(score_l_equations!J42="A",5,IF(score_l_equations!J42="B",4,IF(score_l_equations!J42="B",4,IF(score_l_equations!J42="C",3,IF(score_l_equations!J42="C-",2,IF(score_l_equations!J42="D",1,"NULL"))))))</f>
        <v>3</v>
      </c>
      <c r="K42" s="40">
        <f>IF(score_l_equations!K42="A",5,IF(score_l_equations!K42="B",4,IF(score_l_equations!K42="B",4,IF(score_l_equations!K42="C",3,IF(score_l_equations!K42="C-",2,IF(score_l_equations!K42="D",1,"NULL"))))))</f>
        <v>3</v>
      </c>
      <c r="L42" s="40">
        <f>IF(score_l_equations!L42="A",5,IF(score_l_equations!L42="B",4,IF(score_l_equations!L42="B",4,IF(score_l_equations!L42="C",3,IF(score_l_equations!L42="C-",2,IF(score_l_equations!L42="D",1,"NULL"))))))</f>
        <v>5</v>
      </c>
      <c r="M42" s="40">
        <f>IF(score_l_equations!M42="A",5,IF(score_l_equations!M42="B",4,IF(score_l_equations!M42="B",4,IF(score_l_equations!M42="C",3,IF(score_l_equations!M42="C-",2,IF(score_l_equations!M42="D",1,"NULL"))))))</f>
        <v>5</v>
      </c>
      <c r="N42" s="40" t="str">
        <f>IF(score_l_equations!N42="A",5,IF(score_l_equations!N42="B",4,IF(score_l_equations!N42="B",4,IF(score_l_equations!N42="C",3,IF(score_l_equations!N42="C-",2,IF(score_l_equations!N42="D",1,"NULL"))))))</f>
        <v>NULL</v>
      </c>
      <c r="O42" s="40" t="str">
        <f>IF(score_l_equations!O42="A",5,IF(score_l_equations!O42="B",4,IF(score_l_equations!O42="B",4,IF(score_l_equations!O42="C",3,IF(score_l_equations!O42="C-",2,IF(score_l_equations!O42="D",1,"NULL"))))))</f>
        <v>NULL</v>
      </c>
      <c r="P42" s="45">
        <f t="shared" si="2"/>
        <v>4</v>
      </c>
      <c r="Q42" s="40">
        <f>IF(score_l_equations!Q42="A",5,IF(score_l_equations!Q42="B",4,IF(score_l_equations!Q42="C",3,IF(score_l_equations!Q42="D",1,"NULL"))))</f>
        <v>5</v>
      </c>
      <c r="R42" s="40">
        <f>IF(score_l_equations!R42="A",5,IF(score_l_equations!R42="B",4,IF(score_l_equations!R42="C",3,IF(score_l_equations!R42="D",1,"NULL"))))</f>
        <v>5</v>
      </c>
      <c r="S42" s="40">
        <f>IF(score_l_equations!S42="A",5,IF(score_l_equations!S42="B",4,IF(score_l_equations!S42="C",3,IF(score_l_equations!S42="D",1,"NULL"))))</f>
        <v>5</v>
      </c>
      <c r="T42" s="44">
        <f t="shared" si="3"/>
        <v>5</v>
      </c>
      <c r="U42" s="40">
        <f>IF(score_l_equations!U42="A",5,IF(score_l_equations!U42="B",4,IF(score_l_equations!U42="C",3,IF(score_l_equations!U42="D",1,"NULL"))))</f>
        <v>5</v>
      </c>
      <c r="V42" s="40" t="str">
        <f>IF(score_l_equations!V42="A",5,IF(score_l_equations!V42="B",4,IF(score_l_equations!V42="C",3,IF(score_l_equations!V42="D",1,"NULL"))))</f>
        <v>NULL</v>
      </c>
      <c r="W42" s="40" t="str">
        <f>IF(score_l_equations!W42="A",5,IF(score_l_equations!W42="B",4,IF(score_l_equations!W42="C",3,IF(score_l_equations!W42="D",1,"NULL"))))</f>
        <v>NULL</v>
      </c>
      <c r="X42" s="45">
        <f t="shared" si="4"/>
        <v>5</v>
      </c>
      <c r="Y42" s="40" t="str">
        <f>IF(score_l_equations!Y42="A",5,IF(score_l_equations!Y42="B",4,IF(score_l_equations!Y42="C",3,IF(score_l_equations!Y42="D",1,"NULL"))))</f>
        <v>NULL</v>
      </c>
      <c r="Z42" s="40" t="str">
        <f>IF(score_l_equations!Z42="A",5,IF(score_l_equations!Z42="B",4,IF(score_l_equations!Z42="C",3,IF(score_l_equations!Z42="D",1,"NULL"))))</f>
        <v>NULL</v>
      </c>
      <c r="AA42" s="57" t="str">
        <f t="shared" si="5"/>
        <v>NULL</v>
      </c>
      <c r="AB42" s="49">
        <f t="shared" si="6"/>
        <v>4.8280890484692218</v>
      </c>
      <c r="AC42" s="49">
        <f t="shared" si="7"/>
        <v>4.45</v>
      </c>
      <c r="AD42" s="53">
        <f t="shared" si="8"/>
        <v>4.5634267145407659</v>
      </c>
      <c r="AE42" s="53">
        <f t="shared" si="9"/>
        <v>5.0634267145407659</v>
      </c>
      <c r="AF42">
        <f t="shared" si="10"/>
        <v>0.5</v>
      </c>
    </row>
    <row r="43" spans="1:32" x14ac:dyDescent="0.25">
      <c r="A43" s="33">
        <v>1966</v>
      </c>
      <c r="B43" s="40">
        <f>IF(score_l_equations!B43="A",5,IF(score_l_equations!B43="B",4,IF(score_l_equations!B43="C",3,IF(score_l_equations!B43="D",1,"NULL"))))</f>
        <v>3</v>
      </c>
      <c r="C43" s="40">
        <f>IF(score_l_equations!C43="A",5,IF(score_l_equations!C43="B",4,IF(score_l_equations!C43="C",3,IF(score_l_equations!C43="D",1,"NULL"))))</f>
        <v>3</v>
      </c>
      <c r="D43" s="45">
        <f t="shared" si="1"/>
        <v>3</v>
      </c>
      <c r="E43" s="40">
        <f>IF(score_l_equations!E43="A",5,IF(score_l_equations!E43="B",4,IF(score_l_equations!E43="C",3,IF(score_l_equations!E43="D",1,"NULL"))))</f>
        <v>4</v>
      </c>
      <c r="F43" s="40">
        <f>IF(score_l_equations!F43="A",5,IF(score_l_equations!F43="B",4,IF(score_l_equations!F43="C",3,IF(score_l_equations!F43="D",1,"NULL"))))</f>
        <v>5</v>
      </c>
      <c r="G43" s="40">
        <f>IF(score_l_equations!G43="A",5,IF(score_l_equations!G43="B",4,IF(score_l_equations!G43="C",3,IF(score_l_equations!G43="D",1,"NULL"))))</f>
        <v>4</v>
      </c>
      <c r="H43" s="40">
        <f>IF(score_l_equations!H43="A",5,IF(score_l_equations!H43="B",4,IF(score_l_equations!H43="C",3,IF(score_l_equations!H43="D",1,"NULL"))))</f>
        <v>4</v>
      </c>
      <c r="I43" s="45">
        <f t="shared" si="11"/>
        <v>4.2294850537622564</v>
      </c>
      <c r="J43" s="40">
        <f>IF(score_l_equations!J43="A",5,IF(score_l_equations!J43="B",4,IF(score_l_equations!J43="B",4,IF(score_l_equations!J43="C",3,IF(score_l_equations!J43="C-",2,IF(score_l_equations!J43="D",1,"NULL"))))))</f>
        <v>2</v>
      </c>
      <c r="K43" s="40">
        <f>IF(score_l_equations!K43="A",5,IF(score_l_equations!K43="B",4,IF(score_l_equations!K43="B",4,IF(score_l_equations!K43="C",3,IF(score_l_equations!K43="C-",2,IF(score_l_equations!K43="D",1,"NULL"))))))</f>
        <v>4</v>
      </c>
      <c r="L43" s="40">
        <f>IF(score_l_equations!L43="A",5,IF(score_l_equations!L43="B",4,IF(score_l_equations!L43="B",4,IF(score_l_equations!L43="C",3,IF(score_l_equations!L43="C-",2,IF(score_l_equations!L43="D",1,"NULL"))))))</f>
        <v>3</v>
      </c>
      <c r="M43" s="40">
        <f>IF(score_l_equations!M43="A",5,IF(score_l_equations!M43="B",4,IF(score_l_equations!M43="B",4,IF(score_l_equations!M43="C",3,IF(score_l_equations!M43="C-",2,IF(score_l_equations!M43="D",1,"NULL"))))))</f>
        <v>5</v>
      </c>
      <c r="N43" s="40" t="str">
        <f>IF(score_l_equations!N43="A",5,IF(score_l_equations!N43="B",4,IF(score_l_equations!N43="B",4,IF(score_l_equations!N43="C",3,IF(score_l_equations!N43="C-",2,IF(score_l_equations!N43="D",1,"NULL"))))))</f>
        <v>NULL</v>
      </c>
      <c r="O43" s="40" t="str">
        <f>IF(score_l_equations!O43="A",5,IF(score_l_equations!O43="B",4,IF(score_l_equations!O43="B",4,IF(score_l_equations!O43="C",3,IF(score_l_equations!O43="C-",2,IF(score_l_equations!O43="D",1,"NULL"))))))</f>
        <v>NULL</v>
      </c>
      <c r="P43" s="45">
        <f t="shared" si="2"/>
        <v>3.5</v>
      </c>
      <c r="Q43" s="40">
        <f>IF(score_l_equations!Q43="A",5,IF(score_l_equations!Q43="B",4,IF(score_l_equations!Q43="C",3,IF(score_l_equations!Q43="D",1,"NULL"))))</f>
        <v>5</v>
      </c>
      <c r="R43" s="40">
        <f>IF(score_l_equations!R43="A",5,IF(score_l_equations!R43="B",4,IF(score_l_equations!R43="C",3,IF(score_l_equations!R43="D",1,"NULL"))))</f>
        <v>4</v>
      </c>
      <c r="S43" s="40">
        <f>IF(score_l_equations!S43="A",5,IF(score_l_equations!S43="B",4,IF(score_l_equations!S43="C",3,IF(score_l_equations!S43="D",1,"NULL"))))</f>
        <v>5</v>
      </c>
      <c r="T43" s="44">
        <f t="shared" si="3"/>
        <v>4.666666666666667</v>
      </c>
      <c r="U43" s="40">
        <f>IF(score_l_equations!U43="A",5,IF(score_l_equations!U43="B",4,IF(score_l_equations!U43="C",3,IF(score_l_equations!U43="D",1,"NULL"))))</f>
        <v>3</v>
      </c>
      <c r="V43" s="40" t="str">
        <f>IF(score_l_equations!V43="A",5,IF(score_l_equations!V43="B",4,IF(score_l_equations!V43="C",3,IF(score_l_equations!V43="D",1,"NULL"))))</f>
        <v>NULL</v>
      </c>
      <c r="W43" s="40" t="str">
        <f>IF(score_l_equations!W43="A",5,IF(score_l_equations!W43="B",4,IF(score_l_equations!W43="C",3,IF(score_l_equations!W43="D",1,"NULL"))))</f>
        <v>NULL</v>
      </c>
      <c r="X43" s="45">
        <f t="shared" si="4"/>
        <v>3</v>
      </c>
      <c r="Y43" s="40">
        <f>IF(score_l_equations!Y43="A",5,IF(score_l_equations!Y43="B",4,IF(score_l_equations!Y43="C",3,IF(score_l_equations!Y43="D",1,"NULL"))))</f>
        <v>4</v>
      </c>
      <c r="Z43" s="40">
        <f>IF(score_l_equations!Z43="A",5,IF(score_l_equations!Z43="B",4,IF(score_l_equations!Z43="C",3,IF(score_l_equations!Z43="D",1,"NULL"))))</f>
        <v>4</v>
      </c>
      <c r="AA43" s="57">
        <f t="shared" si="5"/>
        <v>4</v>
      </c>
      <c r="AB43" s="49">
        <f t="shared" si="6"/>
        <v>3.8237549860207123</v>
      </c>
      <c r="AC43" s="49">
        <f t="shared" si="7"/>
        <v>3.8583333333333334</v>
      </c>
      <c r="AD43" s="53">
        <f t="shared" si="8"/>
        <v>3.8479598291395467</v>
      </c>
      <c r="AE43" s="53">
        <f t="shared" si="9"/>
        <v>4.3479598291395467</v>
      </c>
      <c r="AF43">
        <f t="shared" si="10"/>
        <v>0.5</v>
      </c>
    </row>
  </sheetData>
  <sheetProtection algorithmName="SHA-512" hashValue="5wE/6CFuzCfNe4Q/5zWLYY8FgqITfqW4V0t2mtp7h292jdjD032FhlP05Zvcv0W51hmXhzWgadYllvc+OEWKJw==" saltValue="fYpXZ1Lkf/qba4Sbe4CLIg==" spinCount="100000" sheet="1" objects="1" scenarios="1" sort="0" pivotTables="0"/>
  <autoFilter ref="A2:AE43" xr:uid="{AC85F811-E33D-485D-BE51-110DA7D43E55}"/>
  <mergeCells count="6">
    <mergeCell ref="Y1:AA1"/>
    <mergeCell ref="B1:D1"/>
    <mergeCell ref="E1:I1"/>
    <mergeCell ref="J1:P1"/>
    <mergeCell ref="Q1:T1"/>
    <mergeCell ref="U1:X1"/>
  </mergeCells>
  <pageMargins left="0.7" right="0.7" top="0.75" bottom="0.75" header="0.3" footer="0.3"/>
  <pageSetup orientation="portrait" horizontalDpi="1200" verticalDpi="12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847948-74AE-4684-835D-4B09C7944706}">
  <dimension ref="A1:K48"/>
  <sheetViews>
    <sheetView topLeftCell="A9" zoomScale="80" zoomScaleNormal="80" workbookViewId="0">
      <selection activeCell="M14" sqref="M14"/>
    </sheetView>
  </sheetViews>
  <sheetFormatPr defaultRowHeight="15" x14ac:dyDescent="0.25"/>
  <cols>
    <col min="1" max="2" width="6" customWidth="1"/>
    <col min="3" max="3" width="41.28515625" customWidth="1"/>
    <col min="10" max="10" width="5.42578125" customWidth="1"/>
  </cols>
  <sheetData>
    <row r="1" spans="1:8" ht="18.75" x14ac:dyDescent="0.3">
      <c r="A1" s="23" t="s">
        <v>0</v>
      </c>
    </row>
    <row r="2" spans="1:8" x14ac:dyDescent="0.25">
      <c r="A2" s="24" t="s">
        <v>1</v>
      </c>
    </row>
    <row r="4" spans="1:8" x14ac:dyDescent="0.25">
      <c r="A4" s="5" t="s">
        <v>2</v>
      </c>
      <c r="C4" s="81"/>
      <c r="D4" s="81"/>
    </row>
    <row r="5" spans="1:8" x14ac:dyDescent="0.25">
      <c r="A5" s="5" t="s">
        <v>3</v>
      </c>
      <c r="C5" s="79"/>
      <c r="D5" s="79"/>
    </row>
    <row r="6" spans="1:8" x14ac:dyDescent="0.25">
      <c r="A6" s="5" t="s">
        <v>4</v>
      </c>
      <c r="C6" s="79"/>
      <c r="D6" s="79"/>
      <c r="F6" s="5" t="s">
        <v>5</v>
      </c>
      <c r="G6" s="81"/>
      <c r="H6" s="81"/>
    </row>
    <row r="7" spans="1:8" x14ac:dyDescent="0.25">
      <c r="A7" s="5"/>
    </row>
    <row r="8" spans="1:8" x14ac:dyDescent="0.25">
      <c r="A8" s="5" t="s">
        <v>6</v>
      </c>
      <c r="C8" s="81"/>
      <c r="D8" s="81"/>
    </row>
    <row r="9" spans="1:8" x14ac:dyDescent="0.25">
      <c r="A9" s="5" t="s">
        <v>7</v>
      </c>
      <c r="C9" s="79"/>
      <c r="D9" s="79"/>
    </row>
    <row r="10" spans="1:8" x14ac:dyDescent="0.25">
      <c r="A10" s="5" t="s">
        <v>8</v>
      </c>
      <c r="C10" s="79"/>
      <c r="D10" s="79"/>
    </row>
    <row r="11" spans="1:8" x14ac:dyDescent="0.25">
      <c r="A11" s="9"/>
      <c r="B11" s="9"/>
      <c r="C11" s="9"/>
      <c r="D11" s="9"/>
      <c r="E11" s="9"/>
      <c r="F11" s="9"/>
      <c r="G11" s="9"/>
      <c r="H11" s="9"/>
    </row>
    <row r="13" spans="1:8" ht="30" x14ac:dyDescent="0.25">
      <c r="D13" s="7" t="s">
        <v>9</v>
      </c>
      <c r="E13" s="8" t="s">
        <v>10</v>
      </c>
      <c r="F13" s="8" t="s">
        <v>11</v>
      </c>
      <c r="G13" s="8" t="s">
        <v>12</v>
      </c>
      <c r="H13" s="8" t="s">
        <v>13</v>
      </c>
    </row>
    <row r="14" spans="1:8" s="27" customFormat="1" ht="15.75" x14ac:dyDescent="0.25">
      <c r="A14" s="25" t="s">
        <v>14</v>
      </c>
      <c r="B14" s="25"/>
      <c r="C14" s="26"/>
      <c r="D14" s="26"/>
      <c r="E14" s="26"/>
      <c r="F14" s="26"/>
      <c r="G14" s="28">
        <f>IF(G16="NULL","NULL",IF(G25="NULL","NULL",((G16*D16)+(G25*D25))))</f>
        <v>4.0783333333333323</v>
      </c>
      <c r="H14" s="29" t="str">
        <f t="shared" ref="H14:H15" si="0">IF(G14="NULL","NULL",IF(G14&gt;=3.8,"A+",IF(G14&gt;=3.5,"A-",IF(G14&gt;=3,"B+",IF(G14&gt;=2.5,"B-",IF(G14&gt;=2,"C+",IF(G14&gt;=1.5,"C-",IF(G14&gt;0,"D","NULL"))))))))</f>
        <v>A+</v>
      </c>
    </row>
    <row r="15" spans="1:8" s="27" customFormat="1" ht="15.75" x14ac:dyDescent="0.25">
      <c r="A15" s="25" t="s">
        <v>15</v>
      </c>
      <c r="B15" s="25"/>
      <c r="C15" s="26"/>
      <c r="D15" s="26"/>
      <c r="E15" s="26"/>
      <c r="F15" s="26"/>
      <c r="G15" s="28">
        <f>IF(G16="NULL","NULL",IF(G25="NULL","NULL",IF(G41="NULL","NULL",(G14+J41))))</f>
        <v>4.5783333333333323</v>
      </c>
      <c r="H15" s="29" t="str">
        <f t="shared" si="0"/>
        <v>A+</v>
      </c>
    </row>
    <row r="16" spans="1:8" x14ac:dyDescent="0.25">
      <c r="A16" s="4" t="s">
        <v>16</v>
      </c>
      <c r="B16" s="4"/>
      <c r="C16" s="1"/>
      <c r="D16" s="14">
        <v>0.3</v>
      </c>
      <c r="E16" s="10"/>
      <c r="F16" s="10"/>
      <c r="G16" s="15">
        <f>IF(G17="NULL","NULL",IF(G20="NULL","NULL",((D17*G17)+(D20*G20))))</f>
        <v>3.8333333333333295</v>
      </c>
      <c r="H16" s="15" t="str">
        <f>IF(G16="NULL","NULL",IF(G16&gt;=3.8,"A+",IF(G16&gt;=3.5,"A-",IF(G16&gt;=3,"B+",IF(G16&gt;=2.5,"B-",IF(G16&gt;=2,"C+",IF(G16&gt;=1.5,"C-",IF(G16&gt;0,"D","NULL"))))))))</f>
        <v>A+</v>
      </c>
    </row>
    <row r="17" spans="1:11" x14ac:dyDescent="0.25">
      <c r="A17" s="5"/>
      <c r="B17" s="6" t="s">
        <v>17</v>
      </c>
      <c r="C17" s="3"/>
      <c r="D17" s="13">
        <v>0.33333333333333298</v>
      </c>
      <c r="E17" s="11"/>
      <c r="F17" s="11"/>
      <c r="G17" s="17">
        <f>IF(F18="NULL","NULL",(AVERAGE(F18,F19)))</f>
        <v>3.5</v>
      </c>
      <c r="H17" s="18" t="str">
        <f>IF(G17="NULL","NULL",IF(G17&gt;=3.8,"A+",IF(G17&gt;=3.5,"A-",IF(G17&gt;=3,"B+",IF(G17&gt;=2.5,"B-",IF(G17&gt;=2,"C+",IF(G17&gt;=1.5,"C-",IF(G17&gt;0,"D","NULL"))))))))</f>
        <v>A-</v>
      </c>
    </row>
    <row r="18" spans="1:11" x14ac:dyDescent="0.25">
      <c r="C18" s="2" t="s">
        <v>18</v>
      </c>
      <c r="D18" s="12">
        <v>1</v>
      </c>
      <c r="E18" s="20" t="s">
        <v>68</v>
      </c>
      <c r="F18" s="12">
        <f>IF(E18="A",4,IF(E18="B",3,IF(E18="C",2,IF(E18="D",1,"NULL"))))</f>
        <v>3</v>
      </c>
      <c r="G18" s="19"/>
      <c r="H18" s="19"/>
    </row>
    <row r="19" spans="1:11" x14ac:dyDescent="0.25">
      <c r="C19" s="2" t="s">
        <v>19</v>
      </c>
      <c r="D19" s="12">
        <v>1</v>
      </c>
      <c r="E19" s="21" t="s">
        <v>67</v>
      </c>
      <c r="F19" s="12">
        <f>IF(E19="A",4,IF(E19="B",3,IF(E19="C",2,IF(E19="D",1,"NULL"))))</f>
        <v>4</v>
      </c>
      <c r="G19" s="19"/>
      <c r="H19" s="19"/>
    </row>
    <row r="20" spans="1:11" x14ac:dyDescent="0.25">
      <c r="B20" s="6" t="s">
        <v>20</v>
      </c>
      <c r="C20" s="3"/>
      <c r="D20" s="13">
        <v>0.66666666666666596</v>
      </c>
      <c r="E20" s="11"/>
      <c r="F20" s="11"/>
      <c r="G20" s="17">
        <f>IF(F21="NULL","NULL",(SQRT(SQRT((F21*F22))*(AVERAGE(F23,F24)))))</f>
        <v>4</v>
      </c>
      <c r="H20" s="18" t="str">
        <f>IF(G20="NULL","NULL",IF(G20&gt;=3.8,"A+",IF(G20&gt;=3.5,"A-",IF(G20&gt;=3,"B+",IF(G20&gt;=2.5,"B-",IF(G20&gt;=2,"C+",IF(G20&gt;=1.5,"C-",IF(G20&gt;0,"D","NULL"))))))))</f>
        <v>A+</v>
      </c>
    </row>
    <row r="21" spans="1:11" x14ac:dyDescent="0.25">
      <c r="C21" s="2" t="s">
        <v>21</v>
      </c>
      <c r="D21" s="12" t="s">
        <v>22</v>
      </c>
      <c r="E21" s="20" t="s">
        <v>67</v>
      </c>
      <c r="F21" s="12">
        <f>IF(E21="A",4,IF(E21="B",3,IF(E21="C",2,IF(E21="D",1,"NULL"))))</f>
        <v>4</v>
      </c>
      <c r="G21" s="19"/>
      <c r="H21" s="19"/>
    </row>
    <row r="22" spans="1:11" x14ac:dyDescent="0.25">
      <c r="C22" s="2" t="s">
        <v>23</v>
      </c>
      <c r="D22" s="12" t="s">
        <v>22</v>
      </c>
      <c r="E22" s="22" t="s">
        <v>67</v>
      </c>
      <c r="F22" s="12">
        <f t="shared" ref="F22:F24" si="1">IF(E22="A",4,IF(E22="B",3,IF(E22="C",2,IF(E22="D",1,"NULL"))))</f>
        <v>4</v>
      </c>
      <c r="G22" s="19"/>
      <c r="H22" s="19"/>
    </row>
    <row r="23" spans="1:11" x14ac:dyDescent="0.25">
      <c r="C23" s="2" t="s">
        <v>24</v>
      </c>
      <c r="D23" s="12" t="s">
        <v>22</v>
      </c>
      <c r="E23" s="22" t="s">
        <v>67</v>
      </c>
      <c r="F23" s="12">
        <f t="shared" si="1"/>
        <v>4</v>
      </c>
      <c r="G23" s="19"/>
      <c r="H23" s="19"/>
    </row>
    <row r="24" spans="1:11" x14ac:dyDescent="0.25">
      <c r="C24" s="2" t="s">
        <v>25</v>
      </c>
      <c r="D24" s="12" t="s">
        <v>22</v>
      </c>
      <c r="E24" s="21" t="s">
        <v>67</v>
      </c>
      <c r="F24" s="12">
        <f t="shared" si="1"/>
        <v>4</v>
      </c>
      <c r="G24" s="19"/>
      <c r="H24" s="19"/>
    </row>
    <row r="25" spans="1:11" x14ac:dyDescent="0.25">
      <c r="A25" s="4" t="s">
        <v>26</v>
      </c>
      <c r="B25" s="4"/>
      <c r="C25" s="1"/>
      <c r="D25" s="14">
        <v>0.7</v>
      </c>
      <c r="E25" s="10"/>
      <c r="F25" s="10"/>
      <c r="G25" s="15">
        <f>IF(G26="NULL","NULL",IF(G33="NULL","NULL",IF(G37="NULL","NULL",((G26*D26)+(G33*D33)+(G37*D37)))))</f>
        <v>4.1833333333333336</v>
      </c>
      <c r="H25" s="16" t="str">
        <f>IF(G25="NULL","NULL",IF(G25&gt;=3.8,"A+",IF(G25&gt;=3.5,"A-",IF(G25&gt;=3,"B+",IF(G25&gt;=2.5,"B-",IF(G25&gt;=2,"C+",IF(G25&gt;=1.5,"C-",IF(G25&gt;0,"D","NULL"))))))))</f>
        <v>A+</v>
      </c>
    </row>
    <row r="26" spans="1:11" x14ac:dyDescent="0.25">
      <c r="A26" s="5"/>
      <c r="B26" s="6" t="s">
        <v>27</v>
      </c>
      <c r="C26" s="3"/>
      <c r="D26" s="11">
        <v>0.55000000000000004</v>
      </c>
      <c r="E26" s="11"/>
      <c r="F26" s="11"/>
      <c r="G26" s="17">
        <f>IF(F27="NULL","NULL",(AVERAGE(F27:F32)))</f>
        <v>4.333333333333333</v>
      </c>
      <c r="H26" s="18" t="str">
        <f>IF(G26="NULL","NULL",IF(G26&gt;=3.8,"A+",IF(G26&gt;=3.5,"A-",IF(G26&gt;=3,"B+",IF(G26&gt;=2.5,"B-",IF(G26&gt;=2,"C+",IF(G26&gt;=1.5,"C-",IF(G26&gt;0,"D","NULL"))))))))</f>
        <v>A+</v>
      </c>
    </row>
    <row r="27" spans="1:11" x14ac:dyDescent="0.25">
      <c r="C27" s="2" t="s">
        <v>28</v>
      </c>
      <c r="D27" s="12">
        <v>1</v>
      </c>
      <c r="E27" s="20" t="s">
        <v>67</v>
      </c>
      <c r="F27" s="12">
        <f>IF(E27="A",4,IF(E27="B",3,IF(E27="C",2,IF(E27="C-",1.5,IF(E27="D",1,"NULL")))))</f>
        <v>4</v>
      </c>
      <c r="G27" s="19"/>
      <c r="H27" s="19"/>
    </row>
    <row r="28" spans="1:11" x14ac:dyDescent="0.25">
      <c r="C28" s="2" t="s">
        <v>29</v>
      </c>
      <c r="D28" s="12">
        <v>1</v>
      </c>
      <c r="E28" s="22" t="s">
        <v>67</v>
      </c>
      <c r="F28" s="12">
        <f>IF(E28="A",4,IF(E28="B",3,IF(E28="C",2,IF(E28="C-",1.5,IF(E28="D",1,"NULL")))))</f>
        <v>4</v>
      </c>
      <c r="G28" s="19"/>
      <c r="H28" s="19"/>
    </row>
    <row r="29" spans="1:11" x14ac:dyDescent="0.25">
      <c r="C29" s="2" t="s">
        <v>30</v>
      </c>
      <c r="D29" s="12">
        <v>1</v>
      </c>
      <c r="E29" s="22" t="s">
        <v>67</v>
      </c>
      <c r="F29" s="12">
        <f>IF(E29="A",4,IF(E29="B",3,IF(E29="C",2,IF(E29="D",1,"NULL"))))</f>
        <v>4</v>
      </c>
      <c r="G29" s="19"/>
      <c r="H29" s="19"/>
    </row>
    <row r="30" spans="1:11" x14ac:dyDescent="0.25">
      <c r="C30" s="2" t="s">
        <v>31</v>
      </c>
      <c r="D30" s="12">
        <v>1</v>
      </c>
      <c r="E30" s="22" t="s">
        <v>67</v>
      </c>
      <c r="F30" s="12">
        <f>IF(E30="A",4,IF(E30="B",3,IF(E30="C",2,IF(E30="D",1,"NULL"))))</f>
        <v>4</v>
      </c>
      <c r="G30" s="19"/>
      <c r="H30" s="19"/>
      <c r="K30" t="s">
        <v>64</v>
      </c>
    </row>
    <row r="31" spans="1:11" x14ac:dyDescent="0.25">
      <c r="C31" s="2" t="s">
        <v>32</v>
      </c>
      <c r="D31" s="12">
        <v>1</v>
      </c>
      <c r="E31" s="22" t="s">
        <v>67</v>
      </c>
      <c r="F31" s="12">
        <f>IF(E31="A",5,IF(E31="B",4,IF(E31="C",3,IF(E31="D",1,"NULL"))))</f>
        <v>5</v>
      </c>
      <c r="G31" s="19"/>
      <c r="H31" s="19"/>
    </row>
    <row r="32" spans="1:11" x14ac:dyDescent="0.25">
      <c r="C32" s="2" t="s">
        <v>33</v>
      </c>
      <c r="D32" s="12">
        <v>1</v>
      </c>
      <c r="E32" s="21" t="s">
        <v>67</v>
      </c>
      <c r="F32" s="12">
        <f>IF(E32="A",5,IF(E32="B",4,IF(E32="C",3,IF(E32="D",1,"NULL"))))</f>
        <v>5</v>
      </c>
      <c r="G32" s="19"/>
      <c r="H32" s="19"/>
    </row>
    <row r="33" spans="1:11" x14ac:dyDescent="0.25">
      <c r="B33" s="6" t="s">
        <v>34</v>
      </c>
      <c r="C33" s="3"/>
      <c r="D33" s="11">
        <v>0.35</v>
      </c>
      <c r="E33" s="11"/>
      <c r="F33" s="11"/>
      <c r="G33" s="17">
        <f>IF(F34="NULL","NULL",(AVERAGE(F34:F36)))</f>
        <v>4</v>
      </c>
      <c r="H33" s="18" t="str">
        <f>IF(G33="NULL","NULL",IF(G33&gt;=3.8,"A+",IF(G33&gt;=3.5,"A-",IF(G33&gt;=3,"B+",IF(G33&gt;=2.5,"B-",IF(G33&gt;=2,"C+",IF(G33&gt;=1.5,"C-",IF(G33&gt;0,"D","NULL"))))))))</f>
        <v>A+</v>
      </c>
      <c r="K33">
        <f>(G26*D26)+(G33*D33)+(G37*D37)</f>
        <v>4.1833333333333336</v>
      </c>
    </row>
    <row r="34" spans="1:11" x14ac:dyDescent="0.25">
      <c r="C34" s="2" t="s">
        <v>35</v>
      </c>
      <c r="D34" s="12">
        <v>1</v>
      </c>
      <c r="E34" s="20" t="s">
        <v>67</v>
      </c>
      <c r="F34" s="12">
        <f>IF(E34="A",4,IF(E34="B",3,IF(E34="C",2,IF(E34="D",1,"NULL"))))</f>
        <v>4</v>
      </c>
      <c r="G34" s="19"/>
      <c r="H34" s="19"/>
    </row>
    <row r="35" spans="1:11" x14ac:dyDescent="0.25">
      <c r="C35" s="2" t="s">
        <v>36</v>
      </c>
      <c r="D35" s="12">
        <v>1</v>
      </c>
      <c r="E35" s="22" t="s">
        <v>67</v>
      </c>
      <c r="F35" s="12">
        <f>IF(E35="A",4,IF(E35="B",3,IF(E35="C",2,IF(E35="D",1,"NULL"))))</f>
        <v>4</v>
      </c>
      <c r="G35" s="19"/>
      <c r="H35" s="19"/>
    </row>
    <row r="36" spans="1:11" x14ac:dyDescent="0.25">
      <c r="C36" s="2" t="s">
        <v>37</v>
      </c>
      <c r="D36" s="12">
        <v>1</v>
      </c>
      <c r="E36" s="21" t="s">
        <v>67</v>
      </c>
      <c r="F36" s="12">
        <f>IF(E36="A",4,IF(E36="B",3,IF(E36="C",2,IF(E36="D",1,"NULL"))))</f>
        <v>4</v>
      </c>
      <c r="G36" s="19"/>
      <c r="H36" s="19"/>
    </row>
    <row r="37" spans="1:11" x14ac:dyDescent="0.25">
      <c r="B37" s="6" t="s">
        <v>38</v>
      </c>
      <c r="C37" s="3"/>
      <c r="D37" s="13">
        <v>0.1</v>
      </c>
      <c r="E37" s="11"/>
      <c r="F37" s="11"/>
      <c r="G37" s="17">
        <f>IF(F38="NULL","NULL",IF(F39="NULL",F38,((F38+((F39+F40)/2))/2)))</f>
        <v>4</v>
      </c>
      <c r="H37" s="18" t="str">
        <f>IF(G37="NULL","NULL",IF(G37&gt;=3.8,"A+",IF(G37&gt;=3.5,"A-",IF(G37&gt;=3,"B+",IF(G37&gt;=2.5,"B-",IF(G37&gt;=2,"C+",IF(G37&gt;=1.5,"C-",IF(G37&gt;0,"D","NULL"))))))))</f>
        <v>A+</v>
      </c>
    </row>
    <row r="38" spans="1:11" x14ac:dyDescent="0.25">
      <c r="C38" s="2" t="s">
        <v>39</v>
      </c>
      <c r="D38" s="12">
        <v>1</v>
      </c>
      <c r="E38" s="20" t="s">
        <v>67</v>
      </c>
      <c r="F38" s="12">
        <f>IF(E38="A",4,IF(E38="B",3,IF(E38="C",2,IF(E38="D",1,"NULL"))))</f>
        <v>4</v>
      </c>
      <c r="G38" s="19"/>
      <c r="H38" s="19"/>
    </row>
    <row r="39" spans="1:11" x14ac:dyDescent="0.25">
      <c r="C39" s="2" t="s">
        <v>40</v>
      </c>
      <c r="D39" s="12">
        <v>0.5</v>
      </c>
      <c r="E39" s="22" t="s">
        <v>67</v>
      </c>
      <c r="F39" s="12">
        <f>IF(E39="A",4,IF(E39="B",3,IF(E39="C",2,IF(E39="D",1,"NULL"))))</f>
        <v>4</v>
      </c>
      <c r="G39" s="19"/>
      <c r="H39" s="19"/>
    </row>
    <row r="40" spans="1:11" x14ac:dyDescent="0.25">
      <c r="C40" s="2" t="s">
        <v>41</v>
      </c>
      <c r="D40" s="12">
        <v>0.5</v>
      </c>
      <c r="E40" s="21" t="s">
        <v>67</v>
      </c>
      <c r="F40" s="12">
        <f>IF(E40="A",4,IF(E40="B",3,IF(E40="C",2,IF(E40="D",1,"NULL"))))</f>
        <v>4</v>
      </c>
      <c r="G40" s="19"/>
      <c r="H40" s="19"/>
    </row>
    <row r="41" spans="1:11" x14ac:dyDescent="0.25">
      <c r="A41" s="4" t="s">
        <v>42</v>
      </c>
      <c r="B41" s="4"/>
      <c r="C41" s="1"/>
      <c r="D41" s="10" t="s">
        <v>22</v>
      </c>
      <c r="E41" s="10"/>
      <c r="F41" s="10"/>
      <c r="G41" s="15">
        <f>G42</f>
        <v>3.5</v>
      </c>
      <c r="H41" s="16" t="str">
        <f t="shared" ref="H41:H42" si="2">IF(G41="NULL","NULL",IF(G41&gt;=3.8,"A+",IF(G41&gt;=3.5,"A-",IF(G41&gt;=3,"B+",IF(G41&gt;=2.5,"B-",IF(G41&gt;=2,"C+",IF(G41&gt;=1.5,"C-",IF(G41&gt;0,"D","NULL"))))))))</f>
        <v>A-</v>
      </c>
      <c r="J41">
        <f>IF(G42&lt;1.5,-0.5,IF(G42&lt;2.5,-0.25,IF(G42&lt;3.5,0.25,0.5)))</f>
        <v>0.5</v>
      </c>
    </row>
    <row r="42" spans="1:11" x14ac:dyDescent="0.25">
      <c r="A42" s="5"/>
      <c r="B42" s="6" t="s">
        <v>43</v>
      </c>
      <c r="C42" s="3"/>
      <c r="D42" s="11">
        <v>1</v>
      </c>
      <c r="E42" s="11"/>
      <c r="F42" s="11"/>
      <c r="G42" s="17">
        <f>IF(F43="NULL","NULL",AVERAGE(F43:F44))</f>
        <v>3.5</v>
      </c>
      <c r="H42" s="18" t="str">
        <f t="shared" si="2"/>
        <v>A-</v>
      </c>
    </row>
    <row r="43" spans="1:11" x14ac:dyDescent="0.25">
      <c r="C43" s="2" t="s">
        <v>44</v>
      </c>
      <c r="D43" s="12">
        <v>1</v>
      </c>
      <c r="E43" s="20" t="s">
        <v>68</v>
      </c>
      <c r="F43" s="12">
        <f>IF(E43="A",4,IF(E43="B",3,IF(E43="C",2,IF(E43="D",1,"NULL"))))</f>
        <v>3</v>
      </c>
      <c r="G43" s="19"/>
      <c r="H43" s="19"/>
    </row>
    <row r="44" spans="1:11" x14ac:dyDescent="0.25">
      <c r="C44" s="2" t="s">
        <v>45</v>
      </c>
      <c r="D44" s="12">
        <v>1</v>
      </c>
      <c r="E44" s="21" t="s">
        <v>67</v>
      </c>
      <c r="F44" s="12">
        <f>IF(E44="A",4,IF(E44="B",3,IF(E44="C",2,IF(E44="D",1,"NULL"))))</f>
        <v>4</v>
      </c>
      <c r="G44" s="19"/>
      <c r="H44" s="19"/>
    </row>
    <row r="47" spans="1:11" x14ac:dyDescent="0.25">
      <c r="A47" s="80" t="s">
        <v>50</v>
      </c>
      <c r="B47" s="80"/>
      <c r="C47" s="80"/>
      <c r="D47" s="80"/>
      <c r="E47" s="80"/>
      <c r="F47" s="80"/>
      <c r="G47" s="80"/>
      <c r="H47" s="80"/>
    </row>
    <row r="48" spans="1:11" x14ac:dyDescent="0.25">
      <c r="A48" s="80"/>
      <c r="B48" s="80"/>
      <c r="C48" s="80"/>
      <c r="D48" s="80"/>
      <c r="E48" s="80"/>
      <c r="F48" s="80"/>
      <c r="G48" s="80"/>
      <c r="H48" s="80"/>
    </row>
  </sheetData>
  <mergeCells count="8">
    <mergeCell ref="C10:D10"/>
    <mergeCell ref="A47:H48"/>
    <mergeCell ref="C4:D4"/>
    <mergeCell ref="C5:D5"/>
    <mergeCell ref="C6:D6"/>
    <mergeCell ref="G6:H6"/>
    <mergeCell ref="C8:D8"/>
    <mergeCell ref="C9:D9"/>
  </mergeCells>
  <printOptions horizontalCentered="1"/>
  <pageMargins left="0.25" right="0.25" top="0.5" bottom="0.5" header="0.3" footer="0.3"/>
  <pageSetup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42BC2813AC80004186370D59BBD8E088" ma:contentTypeVersion="20" ma:contentTypeDescription="Create a new document." ma:contentTypeScope="" ma:versionID="3991090a5ec2160504c72529f098c20b">
  <xsd:schema xmlns:xsd="http://www.w3.org/2001/XMLSchema" xmlns:xs="http://www.w3.org/2001/XMLSchema" xmlns:p="http://schemas.microsoft.com/office/2006/metadata/properties" xmlns:ns2="02860da2-2291-4489-8f26-b60e1da34419" xmlns:ns3="248d2302-19e1-4a68-b597-d5eb0aaf8959" targetNamespace="http://schemas.microsoft.com/office/2006/metadata/properties" ma:root="true" ma:fieldsID="fc6d5e66ddb1bf450ccd135049d073c3" ns2:_="" ns3:_="">
    <xsd:import namespace="02860da2-2291-4489-8f26-b60e1da34419"/>
    <xsd:import namespace="248d2302-19e1-4a68-b597-d5eb0aaf8959"/>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Location"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element ref="ns2:MediaServiceBillingMetadata" minOccurs="0"/>
                <xsd:element ref="ns2:Addtosurveyform"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2860da2-2291-4489-8f26-b60e1da3441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Location" ma:index="19" nillable="true" ma:displayName="Location" ma:internalName="MediaServiceLocation"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5809afe7-41e7-411a-ade2-84efccde1b30"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MediaServiceBillingMetadata" ma:index="26" nillable="true" ma:displayName="MediaServiceBillingMetadata" ma:hidden="true" ma:internalName="MediaServiceBillingMetadata" ma:readOnly="true">
      <xsd:simpleType>
        <xsd:restriction base="dms:Note"/>
      </xsd:simpleType>
    </xsd:element>
    <xsd:element name="Addtosurveyform" ma:index="27" nillable="true" ma:displayName="Add to survey form" ma:format="Dropdown" ma:internalName="Addtosurveyform">
      <xsd:simpleType>
        <xsd:restriction base="dms:Choice">
          <xsd:enumeration value="Choice 1"/>
          <xsd:enumeration value="Choice 2"/>
          <xsd:enumeration value="Choice 3"/>
        </xsd:restriction>
      </xsd:simpleType>
    </xsd:element>
  </xsd:schema>
  <xsd:schema xmlns:xsd="http://www.w3.org/2001/XMLSchema" xmlns:xs="http://www.w3.org/2001/XMLSchema" xmlns:dms="http://schemas.microsoft.com/office/2006/documentManagement/types" xmlns:pc="http://schemas.microsoft.com/office/infopath/2007/PartnerControls" targetNamespace="248d2302-19e1-4a68-b597-d5eb0aaf8959"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2cb3281f-decb-4a71-b89f-9bdf91970408}" ma:internalName="TaxCatchAll" ma:showField="CatchAllData" ma:web="248d2302-19e1-4a68-b597-d5eb0aaf895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248d2302-19e1-4a68-b597-d5eb0aaf8959" xsi:nil="true"/>
    <lcf76f155ced4ddcb4097134ff3c332f xmlns="02860da2-2291-4489-8f26-b60e1da34419">
      <Terms xmlns="http://schemas.microsoft.com/office/infopath/2007/PartnerControls"/>
    </lcf76f155ced4ddcb4097134ff3c332f>
    <Addtosurveyform xmlns="02860da2-2291-4489-8f26-b60e1da34419" xsi:nil="true"/>
  </documentManagement>
</p:properties>
</file>

<file path=customXml/itemProps1.xml><?xml version="1.0" encoding="utf-8"?>
<ds:datastoreItem xmlns:ds="http://schemas.openxmlformats.org/officeDocument/2006/customXml" ds:itemID="{2EFFDAEA-7390-4B8C-BAFC-B483728E7F0E}">
  <ds:schemaRefs>
    <ds:schemaRef ds:uri="http://schemas.microsoft.com/sharepoint/v3/contenttype/forms"/>
  </ds:schemaRefs>
</ds:datastoreItem>
</file>

<file path=customXml/itemProps2.xml><?xml version="1.0" encoding="utf-8"?>
<ds:datastoreItem xmlns:ds="http://schemas.openxmlformats.org/officeDocument/2006/customXml" ds:itemID="{BA736079-241F-47C7-ADAE-383CD8677AE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2860da2-2291-4489-8f26-b60e1da34419"/>
    <ds:schemaRef ds:uri="248d2302-19e1-4a68-b597-d5eb0aaf895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B974938E-1423-4DE9-97DD-18DE1D8C2C46}">
  <ds:schemaRefs>
    <ds:schemaRef ds:uri="http://schemas.microsoft.com/office/2006/metadata/properties"/>
    <ds:schemaRef ds:uri="http://schemas.microsoft.com/office/infopath/2007/PartnerControls"/>
    <ds:schemaRef ds:uri="248d2302-19e1-4a68-b597-d5eb0aaf8959"/>
    <ds:schemaRef ds:uri="02860da2-2291-4489-8f26-b60e1da34419"/>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score_l_equations</vt:lpstr>
      <vt:lpstr>score_n_equations</vt:lpstr>
      <vt:lpstr>Template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Joanna Lemly</dc:creator>
  <cp:keywords/>
  <dc:description/>
  <cp:lastModifiedBy>Knaggs,Luke</cp:lastModifiedBy>
  <cp:revision/>
  <dcterms:created xsi:type="dcterms:W3CDTF">2015-08-30T23:13:41Z</dcterms:created>
  <dcterms:modified xsi:type="dcterms:W3CDTF">2026-03-25T21:35:57Z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0x01010042BC2813AC80004186370D59BBD8E088</vt:lpwstr>
  </property>
  <property fmtid="{D5CDD505-2E9C-101B-9397-08002B2CF9AE}" pid="3" name="MediaServiceImageTags">
    <vt:lpwstr/>
  </property>
</Properties>
</file>